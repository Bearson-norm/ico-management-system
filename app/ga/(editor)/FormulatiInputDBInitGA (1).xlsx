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DB Barang" sheetId="3" r:id="rId7"/>
    <sheet state="visible" name="LH Barang" sheetId="4" r:id="rId8"/>
    <sheet state="visible" name="Inbound" sheetId="5" r:id="rId9"/>
    <sheet state="visible" name="Outbound" sheetId="6" r:id="rId10"/>
  </sheets>
  <definedNames/>
  <calcPr/>
</workbook>
</file>

<file path=xl/sharedStrings.xml><?xml version="1.0" encoding="utf-8"?>
<sst xmlns="http://schemas.openxmlformats.org/spreadsheetml/2006/main" count="942" uniqueCount="383">
  <si>
    <t>NAMA BARANG</t>
  </si>
  <si>
    <t>KODE BARANG</t>
  </si>
  <si>
    <t>Qty</t>
  </si>
  <si>
    <t xml:space="preserve">LABEL NIIMBOT D11 UKURAN 12 X 22 MM </t>
  </si>
  <si>
    <t>A0001</t>
  </si>
  <si>
    <t>PLASTIK KLIP UKURAN 25X16 ISI 100PCS</t>
  </si>
  <si>
    <t>A0002</t>
  </si>
  <si>
    <t>LABEL TOM &amp; JERRY BULAT NO. 113 WARNA BIRU (PACK)</t>
  </si>
  <si>
    <t>A0003</t>
  </si>
  <si>
    <t>LABEL TOM &amp; JERRY BULAT NO. 113 WARNA MERAH (PACK)</t>
  </si>
  <si>
    <t>A0004</t>
  </si>
  <si>
    <t>LABEL TOM &amp; JERRY BULAT NO. 113 WARNA ORANGE (PACK)</t>
  </si>
  <si>
    <t>A0005</t>
  </si>
  <si>
    <t>LABEL TOM &amp; JERRY BULAT NO. 113 WARNA HIJAU (PACK)</t>
  </si>
  <si>
    <t>A0006</t>
  </si>
  <si>
    <t>LABEL TOM &amp; JERRY BULAT NO. 113 WARNA KUNING (PACK)</t>
  </si>
  <si>
    <t>A0007</t>
  </si>
  <si>
    <t>LABEL TOM &amp; JERRY BULAT NO. 113 WARNA PUTIH (PACK)</t>
  </si>
  <si>
    <t>A0008</t>
  </si>
  <si>
    <t>LABEL TOM &amp; JERRY BULAT NO. 113 WARNA PINK (PACK)</t>
  </si>
  <si>
    <t>A0009</t>
  </si>
  <si>
    <t>LABEL TOM N JERRY NO.121</t>
  </si>
  <si>
    <t>A0010</t>
  </si>
  <si>
    <t>LABEL TOM N JERRY NO.103</t>
  </si>
  <si>
    <t>A0011</t>
  </si>
  <si>
    <t>KERTAS HVS A4</t>
  </si>
  <si>
    <t>A0012</t>
  </si>
  <si>
    <t>PULPEN HITAM</t>
  </si>
  <si>
    <t>A0013</t>
  </si>
  <si>
    <t>PULPEN MERAH</t>
  </si>
  <si>
    <t>A0014</t>
  </si>
  <si>
    <t>TIPE - X</t>
  </si>
  <si>
    <t>A0015</t>
  </si>
  <si>
    <t>STABILO</t>
  </si>
  <si>
    <t>A0016</t>
  </si>
  <si>
    <t>PENGGARIS</t>
  </si>
  <si>
    <t>A0017</t>
  </si>
  <si>
    <t>GUNTING</t>
  </si>
  <si>
    <t>A0018</t>
  </si>
  <si>
    <t>AMPLOP PUTIH</t>
  </si>
  <si>
    <t>A0019</t>
  </si>
  <si>
    <t>AMPLOP COKLAT SEAL</t>
  </si>
  <si>
    <t>A0020</t>
  </si>
  <si>
    <t>AMPLOP COKLAT</t>
  </si>
  <si>
    <t>A0021</t>
  </si>
  <si>
    <t>AMPLOP TALI</t>
  </si>
  <si>
    <t>A0022</t>
  </si>
  <si>
    <t>MAP PLASTIK BENING</t>
  </si>
  <si>
    <t>A0023</t>
  </si>
  <si>
    <t>BATU BATERAI A3</t>
  </si>
  <si>
    <t>A0024</t>
  </si>
  <si>
    <t>BATU BATERAI A2</t>
  </si>
  <si>
    <t>A0025</t>
  </si>
  <si>
    <t>SPIDOL HITAM</t>
  </si>
  <si>
    <t>A0026</t>
  </si>
  <si>
    <t>SPIDOL HITAM PERMANEN</t>
  </si>
  <si>
    <t>A0027</t>
  </si>
  <si>
    <t>SPIDOL MERAH</t>
  </si>
  <si>
    <t>A0028</t>
  </si>
  <si>
    <t>SPIDOL PUTIH</t>
  </si>
  <si>
    <t>A0029</t>
  </si>
  <si>
    <t>ISI STAPLES KECIL</t>
  </si>
  <si>
    <t>A0030</t>
  </si>
  <si>
    <t>ISI STAPLES BESAR</t>
  </si>
  <si>
    <t>A0031</t>
  </si>
  <si>
    <t>STAPLES</t>
  </si>
  <si>
    <t>A0032</t>
  </si>
  <si>
    <t>MATERAI</t>
  </si>
  <si>
    <t>A0033</t>
  </si>
  <si>
    <t>DOUBLE TAPE PUTIH</t>
  </si>
  <si>
    <t>A0034</t>
  </si>
  <si>
    <t>DOUBLE TAPE FOAM</t>
  </si>
  <si>
    <t>A0035</t>
  </si>
  <si>
    <t xml:space="preserve">SHEET PROTECTOR </t>
  </si>
  <si>
    <t>A0036</t>
  </si>
  <si>
    <t xml:space="preserve">BANTEX </t>
  </si>
  <si>
    <t>A0037</t>
  </si>
  <si>
    <t>BOX FILE BINDEX</t>
  </si>
  <si>
    <t>A0038</t>
  </si>
  <si>
    <t>PAPAN JALAN</t>
  </si>
  <si>
    <t>A0039</t>
  </si>
  <si>
    <t xml:space="preserve">SURAT LEMBURAN </t>
  </si>
  <si>
    <t>A0040</t>
  </si>
  <si>
    <t xml:space="preserve">SUSU </t>
  </si>
  <si>
    <t>A0041</t>
  </si>
  <si>
    <t>AIR MINERAL</t>
  </si>
  <si>
    <t>A0042</t>
  </si>
  <si>
    <t>TEH BOTOL</t>
  </si>
  <si>
    <t>A0043</t>
  </si>
  <si>
    <t>KALKULATOR CITIZEN TYPE SDC 868 L</t>
  </si>
  <si>
    <t>A0044</t>
  </si>
  <si>
    <t>DELI PENA MEJA PULPEN PEN SMILE DESK PEN STAND 0.7MM - HITAM</t>
  </si>
  <si>
    <t>A0045</t>
  </si>
  <si>
    <t xml:space="preserve">TOPRON PEMBERSIH KERAMIK , PORCELAIN BOTOL 1 LITER </t>
  </si>
  <si>
    <t>A0046</t>
  </si>
  <si>
    <t>PORSTEX</t>
  </si>
  <si>
    <t>A0047</t>
  </si>
  <si>
    <t>KOPI KAPAL API 380 GR</t>
  </si>
  <si>
    <t>A0048</t>
  </si>
  <si>
    <t>HAIRNET KAIN</t>
  </si>
  <si>
    <t>A0049</t>
  </si>
  <si>
    <t>HAIRNET DISPOSABLE</t>
  </si>
  <si>
    <t>A0050</t>
  </si>
  <si>
    <t>GULA PASIR</t>
  </si>
  <si>
    <t>A0051</t>
  </si>
  <si>
    <t>TISSUE</t>
  </si>
  <si>
    <t>A0052</t>
  </si>
  <si>
    <t xml:space="preserve">LATEX SARUNG TANGAN </t>
  </si>
  <si>
    <t>A0053</t>
  </si>
  <si>
    <t>MASKER</t>
  </si>
  <si>
    <t>A0054</t>
  </si>
  <si>
    <t xml:space="preserve">SHUNTON P10 80GR - KAMPER </t>
  </si>
  <si>
    <t>A0055</t>
  </si>
  <si>
    <t xml:space="preserve">PLASTIK LAMINATIN </t>
  </si>
  <si>
    <t>A0056</t>
  </si>
  <si>
    <t>TINTA PRINTER L3201 BIRU</t>
  </si>
  <si>
    <t>A0057</t>
  </si>
  <si>
    <t>TINTA PRINTER L3201 PINK</t>
  </si>
  <si>
    <t>A0058</t>
  </si>
  <si>
    <t>TINTA PRINTER L3201 KUNING</t>
  </si>
  <si>
    <t>A0059</t>
  </si>
  <si>
    <t>TINTA PRINTER L3201 HITAM</t>
  </si>
  <si>
    <t>A0060</t>
  </si>
  <si>
    <t>TINTA STEMPEL</t>
  </si>
  <si>
    <t>A0061</t>
  </si>
  <si>
    <t>TINTA LX-310</t>
  </si>
  <si>
    <t>A0062</t>
  </si>
  <si>
    <t>LAMPU PHILIPS LEDTUBE 18 W</t>
  </si>
  <si>
    <t>A0063</t>
  </si>
  <si>
    <t>HAND SANITIZER CAIR 5 LITER PURELIZER ASEPTIC 5L</t>
  </si>
  <si>
    <t>A0064</t>
  </si>
  <si>
    <t xml:space="preserve">SABUN LANTAI </t>
  </si>
  <si>
    <t>A0065</t>
  </si>
  <si>
    <t xml:space="preserve">SABUN CUCI PIRING </t>
  </si>
  <si>
    <t>A0066</t>
  </si>
  <si>
    <t>SABUN CUCI TANGAN</t>
  </si>
  <si>
    <t>A0067</t>
  </si>
  <si>
    <t>DETERJEN PEWANGI PAKAIAN</t>
  </si>
  <si>
    <t>A0068</t>
  </si>
  <si>
    <t>DETERJEN CAIR</t>
  </si>
  <si>
    <t>A0069</t>
  </si>
  <si>
    <t>STICKY NOTE</t>
  </si>
  <si>
    <t>A0070</t>
  </si>
  <si>
    <t>BETADINE</t>
  </si>
  <si>
    <t>A0071</t>
  </si>
  <si>
    <t>KAIN KASA</t>
  </si>
  <si>
    <t>A0072</t>
  </si>
  <si>
    <t>OBAT MAAG</t>
  </si>
  <si>
    <t>A0073</t>
  </si>
  <si>
    <t>MINYAK KAYU PUTIH</t>
  </si>
  <si>
    <t>A0074</t>
  </si>
  <si>
    <t>HANDSPLAST WARNA WARNI</t>
  </si>
  <si>
    <t>A0075</t>
  </si>
  <si>
    <t>RIVANOL</t>
  </si>
  <si>
    <t>A0076</t>
  </si>
  <si>
    <t>ALKOHOL 70 % 100ML</t>
  </si>
  <si>
    <t>A0077</t>
  </si>
  <si>
    <t>KAPAS</t>
  </si>
  <si>
    <t>A0078</t>
  </si>
  <si>
    <t>SAPU LANTAI</t>
  </si>
  <si>
    <t>A0079</t>
  </si>
  <si>
    <t>SAPU LOBBY</t>
  </si>
  <si>
    <t>A0080</t>
  </si>
  <si>
    <t>SAPU LIDI</t>
  </si>
  <si>
    <t>A0081</t>
  </si>
  <si>
    <t>SAPU SAWANG</t>
  </si>
  <si>
    <t>A0082</t>
  </si>
  <si>
    <t>PENGKI</t>
  </si>
  <si>
    <t>A0083</t>
  </si>
  <si>
    <t>PEL - PELAN</t>
  </si>
  <si>
    <t>A0084</t>
  </si>
  <si>
    <t>EMBER</t>
  </si>
  <si>
    <t>A0085</t>
  </si>
  <si>
    <t>GAYUNG</t>
  </si>
  <si>
    <t>A0086</t>
  </si>
  <si>
    <t>GANTUNGAN SAPU 5 SLOT</t>
  </si>
  <si>
    <t>A0087</t>
  </si>
  <si>
    <t>PAYUNG</t>
  </si>
  <si>
    <t>A0088</t>
  </si>
  <si>
    <t>PLASTIK SAMPAH</t>
  </si>
  <si>
    <t>A0089</t>
  </si>
  <si>
    <t>ISI PULPEN DELI</t>
  </si>
  <si>
    <t>A0090</t>
  </si>
  <si>
    <t>KOTAK TISSUE</t>
  </si>
  <si>
    <t>A0091</t>
  </si>
  <si>
    <t xml:space="preserve">BISNIS FILE </t>
  </si>
  <si>
    <t>A0092</t>
  </si>
  <si>
    <t>TRIGONAL</t>
  </si>
  <si>
    <t>A0093</t>
  </si>
  <si>
    <t>BIOPLASENTO</t>
  </si>
  <si>
    <t>A0094</t>
  </si>
  <si>
    <t>PARACETAMOL</t>
  </si>
  <si>
    <t>A0095</t>
  </si>
  <si>
    <t>OBAT MATA Y-RINS</t>
  </si>
  <si>
    <t>A0096</t>
  </si>
  <si>
    <t>KWITANSI</t>
  </si>
  <si>
    <t>A0097</t>
  </si>
  <si>
    <t>BUKU TULIS</t>
  </si>
  <si>
    <t>A0098</t>
  </si>
  <si>
    <t>BUKU FOLIO</t>
  </si>
  <si>
    <t>A0099</t>
  </si>
  <si>
    <t>NOTA</t>
  </si>
  <si>
    <t>A0100</t>
  </si>
  <si>
    <t>SEMPROTAN AIR</t>
  </si>
  <si>
    <t>A0101</t>
  </si>
  <si>
    <t>EM4 PERTANIAN</t>
  </si>
  <si>
    <t>A0102</t>
  </si>
  <si>
    <t>EM4 LIMBAH ORGANIK</t>
  </si>
  <si>
    <t>A0103</t>
  </si>
  <si>
    <t>BAYGON</t>
  </si>
  <si>
    <t>A0104</t>
  </si>
  <si>
    <t>KUAS ROLL BULU KECIL 4INC</t>
  </si>
  <si>
    <t>A0105</t>
  </si>
  <si>
    <t>KUAS ROLL BULU BESAR 9INC</t>
  </si>
  <si>
    <t>A0106</t>
  </si>
  <si>
    <t>KUAS UKURAN 2 INC</t>
  </si>
  <si>
    <t>A0107</t>
  </si>
  <si>
    <t>KUAS UKURAN 3 INC</t>
  </si>
  <si>
    <t>A0108</t>
  </si>
  <si>
    <t>CAT TEMBOK ARIES ( WHITE) 25 KG</t>
  </si>
  <si>
    <t>A0109</t>
  </si>
  <si>
    <t>CAT TEMBOK ARIES ( WHITE) 5 KG</t>
  </si>
  <si>
    <t>A0110</t>
  </si>
  <si>
    <t>CAT ANTI KARAT</t>
  </si>
  <si>
    <t>A0111</t>
  </si>
  <si>
    <t>FLASHBAND</t>
  </si>
  <si>
    <t>A0112</t>
  </si>
  <si>
    <t>ASPAL CAIR</t>
  </si>
  <si>
    <t>A0113</t>
  </si>
  <si>
    <t>SERAT FIBER ANTI BOCOR</t>
  </si>
  <si>
    <t>A0114</t>
  </si>
  <si>
    <t>AQUAPROOF</t>
  </si>
  <si>
    <t>A0115</t>
  </si>
  <si>
    <t>SEALANT</t>
  </si>
  <si>
    <t>A0116</t>
  </si>
  <si>
    <t>PILOX WARNA BIRU</t>
  </si>
  <si>
    <t>A0117</t>
  </si>
  <si>
    <t>PILOX WARNA HITAM</t>
  </si>
  <si>
    <t>A0118</t>
  </si>
  <si>
    <t>PILOX WARNA MERAH</t>
  </si>
  <si>
    <t>A0119</t>
  </si>
  <si>
    <t>LAYAR PROJECTOR</t>
  </si>
  <si>
    <t>A0120</t>
  </si>
  <si>
    <t>LAKBAN MERAH KAIN</t>
  </si>
  <si>
    <t>A0121</t>
  </si>
  <si>
    <t>LAKBAN GYPSUM</t>
  </si>
  <si>
    <t>A0122</t>
  </si>
  <si>
    <t>SERAGAM KERJA WARNA KUNING UK S</t>
  </si>
  <si>
    <t>A0123</t>
  </si>
  <si>
    <t>SERAGAM KERJA WARNA KUNING UK L</t>
  </si>
  <si>
    <t>A0124</t>
  </si>
  <si>
    <t>SERAGAM KERJA WARNA KUNING UK XXXL</t>
  </si>
  <si>
    <t>A0125</t>
  </si>
  <si>
    <t>SERAGAM KERJA WARNA KUNING UK M</t>
  </si>
  <si>
    <t>A0126</t>
  </si>
  <si>
    <t>SERAGAM KERJA WARNA KUNING UK XL</t>
  </si>
  <si>
    <t>A0127</t>
  </si>
  <si>
    <t>SERAGAM KERJA WARNA KUNING UK XXL</t>
  </si>
  <si>
    <t>A0128</t>
  </si>
  <si>
    <t>SERAGAM KERJA WARNA HITAM UK M</t>
  </si>
  <si>
    <t>A0129</t>
  </si>
  <si>
    <t>SERAGAM KERJA WARNA HITAM UK XL</t>
  </si>
  <si>
    <t>A0130</t>
  </si>
  <si>
    <t>SERAGAM KERJA WARNA HITAM XXXL</t>
  </si>
  <si>
    <t>A0131</t>
  </si>
  <si>
    <t>SERAGAM KERJA WARNA HITAM XXL</t>
  </si>
  <si>
    <t>A0132</t>
  </si>
  <si>
    <t>SERAGAM KERJA WARNA HIJAU XXL</t>
  </si>
  <si>
    <t>A0133</t>
  </si>
  <si>
    <t>SERAGAM KERJA WARNA HIJAU XL</t>
  </si>
  <si>
    <t>A0134</t>
  </si>
  <si>
    <t>SERAGAM KERJA WARNA BIRU UK XL</t>
  </si>
  <si>
    <t>A0135</t>
  </si>
  <si>
    <t>SERAGAM KERJA WARNA BIRU UK L ( SAMPLE )</t>
  </si>
  <si>
    <t>A0136</t>
  </si>
  <si>
    <t>SERAGAM KERJA WARNA BIRU UK XXL</t>
  </si>
  <si>
    <t>A0137</t>
  </si>
  <si>
    <t>CELANA KERJA UKURAN 31</t>
  </si>
  <si>
    <t>A0138</t>
  </si>
  <si>
    <t>CELANA KERJA UKURAN 32</t>
  </si>
  <si>
    <t>A0139</t>
  </si>
  <si>
    <t>CELANA KERJA UKURAN 33</t>
  </si>
  <si>
    <t>A0140</t>
  </si>
  <si>
    <t>CELANA KERJA UKURAN 34</t>
  </si>
  <si>
    <t>A0141</t>
  </si>
  <si>
    <t>CELANA KERJA UKURAN 35</t>
  </si>
  <si>
    <t>A0142</t>
  </si>
  <si>
    <t>CELANA KERJA UKURAN 36</t>
  </si>
  <si>
    <t>A0143</t>
  </si>
  <si>
    <t>CELANA KERJA UKURAN 37</t>
  </si>
  <si>
    <t>A0144</t>
  </si>
  <si>
    <t>CELANA KERJA UKURAN 41</t>
  </si>
  <si>
    <t>A0145</t>
  </si>
  <si>
    <t>CELANA KERJA UKURAN 42</t>
  </si>
  <si>
    <t>A0146</t>
  </si>
  <si>
    <t>CELANA KERJA UKURAN 43</t>
  </si>
  <si>
    <t>A0147</t>
  </si>
  <si>
    <t>JAS DISPOSABLE</t>
  </si>
  <si>
    <t>A0148</t>
  </si>
  <si>
    <t>APD HIJAU XL</t>
  </si>
  <si>
    <t>A0149</t>
  </si>
  <si>
    <t>APD HIJAU L</t>
  </si>
  <si>
    <t>A0150</t>
  </si>
  <si>
    <t>APD HIJAU M</t>
  </si>
  <si>
    <t>A0151</t>
  </si>
  <si>
    <t>APD BIRU 2XL</t>
  </si>
  <si>
    <t>A0152</t>
  </si>
  <si>
    <t>APD BIRU 3XL</t>
  </si>
  <si>
    <t>A0153</t>
  </si>
  <si>
    <t>APD BIRU 4XL</t>
  </si>
  <si>
    <t>A0154</t>
  </si>
  <si>
    <t>LAMPU HANNOCHS 50W</t>
  </si>
  <si>
    <t>A0155</t>
  </si>
  <si>
    <t>LAMPU HANNOCHS 13W</t>
  </si>
  <si>
    <t>A0156</t>
  </si>
  <si>
    <t>LAMPU HANNOCHS 32W</t>
  </si>
  <si>
    <t>A0157</t>
  </si>
  <si>
    <t>LAMPU SHIMATA PLUS S20</t>
  </si>
  <si>
    <t>A0158</t>
  </si>
  <si>
    <t xml:space="preserve">LAMPU EMERGENCY </t>
  </si>
  <si>
    <t>A0159</t>
  </si>
  <si>
    <t>LAMPU EXIT KANAN</t>
  </si>
  <si>
    <t>A0160</t>
  </si>
  <si>
    <t>CAT EPODUR BRIGHT BLUE</t>
  </si>
  <si>
    <t>A0161</t>
  </si>
  <si>
    <t>CAT EPODUR GREEN</t>
  </si>
  <si>
    <t>A0162</t>
  </si>
  <si>
    <t>CAT EPODUR BLACK</t>
  </si>
  <si>
    <t>A0163</t>
  </si>
  <si>
    <t>KEMOCENG</t>
  </si>
  <si>
    <t>A0164</t>
  </si>
  <si>
    <t>SALONPAS</t>
  </si>
  <si>
    <t>A0165</t>
  </si>
  <si>
    <t>ISI CUTTER</t>
  </si>
  <si>
    <t>A0166</t>
  </si>
  <si>
    <t>KOTAK SAMPAH KECIL</t>
  </si>
  <si>
    <t>A0167</t>
  </si>
  <si>
    <t>PEMBERSIH KACA</t>
  </si>
  <si>
    <t>A0168</t>
  </si>
  <si>
    <t>SIKAT CLOSET</t>
  </si>
  <si>
    <t>A0169</t>
  </si>
  <si>
    <t>KANEBO</t>
  </si>
  <si>
    <t>A0170</t>
  </si>
  <si>
    <t>SHAMPO MOBIL</t>
  </si>
  <si>
    <t>A0171</t>
  </si>
  <si>
    <t>PEMBOLONG KERTAS</t>
  </si>
  <si>
    <t>A0172</t>
  </si>
  <si>
    <t>COMPOUND</t>
  </si>
  <si>
    <t>A0173</t>
  </si>
  <si>
    <t>INSTO</t>
  </si>
  <si>
    <t>A0174</t>
  </si>
  <si>
    <t xml:space="preserve">GLADE </t>
  </si>
  <si>
    <t>A0175</t>
  </si>
  <si>
    <t>KUNCI SLOT KAMAR MANDI</t>
  </si>
  <si>
    <t>A0176</t>
  </si>
  <si>
    <t>PIRING MAKAN</t>
  </si>
  <si>
    <t>A0177</t>
  </si>
  <si>
    <t>SENDOK MAKAN</t>
  </si>
  <si>
    <t>A0178</t>
  </si>
  <si>
    <t>GARPU</t>
  </si>
  <si>
    <t>A0179</t>
  </si>
  <si>
    <t>GELAS STAINLES</t>
  </si>
  <si>
    <t>A0180</t>
  </si>
  <si>
    <t>STIKER FOOM</t>
  </si>
  <si>
    <t>A0181</t>
  </si>
  <si>
    <t>HELM PROYEK PUTIH</t>
  </si>
  <si>
    <t>A0182</t>
  </si>
  <si>
    <t>WASTAFEL LEHER ANGSA</t>
  </si>
  <si>
    <t>A0183</t>
  </si>
  <si>
    <t>METERAN</t>
  </si>
  <si>
    <t>A0184</t>
  </si>
  <si>
    <t>SENDOK SEMEN</t>
  </si>
  <si>
    <t>A0185</t>
  </si>
  <si>
    <t>Min Qty</t>
  </si>
  <si>
    <t>LOKASI</t>
  </si>
  <si>
    <t>Harga</t>
  </si>
  <si>
    <t>G2 ATAS</t>
  </si>
  <si>
    <t>G5</t>
  </si>
  <si>
    <t>F2</t>
  </si>
  <si>
    <t>S</t>
  </si>
  <si>
    <t>G6</t>
  </si>
  <si>
    <t>G7</t>
  </si>
  <si>
    <t>G8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</si>
</sst>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dd/mm/yyyy"/>
    <numFmt numFmtId="166" formatCode="d/m/yyyy"/>
  </numFmts>
  <fonts count="8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1" fillId="2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0" fontId="3" numFmtId="3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vertical="bottom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vertical="bottom"/>
    </xf>
    <xf borderId="0" fillId="0" fontId="5" numFmtId="0" xfId="0" applyFont="1"/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7">
        <v>12.0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6" t="s">
        <v>6</v>
      </c>
      <c r="C3" s="7">
        <v>25.0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6" t="s">
        <v>8</v>
      </c>
      <c r="C4" s="7">
        <v>25.0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9</v>
      </c>
      <c r="B5" s="6" t="s">
        <v>10</v>
      </c>
      <c r="C5" s="7">
        <v>25.0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6" t="s">
        <v>12</v>
      </c>
      <c r="C6" s="7">
        <v>25.0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13</v>
      </c>
      <c r="B7" s="6" t="s">
        <v>14</v>
      </c>
      <c r="C7" s="7">
        <v>25.0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15</v>
      </c>
      <c r="B8" s="6" t="s">
        <v>16</v>
      </c>
      <c r="C8" s="7">
        <v>25.0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17</v>
      </c>
      <c r="B9" s="6" t="s">
        <v>18</v>
      </c>
      <c r="C9" s="7">
        <v>25.0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19</v>
      </c>
      <c r="B10" s="6" t="s">
        <v>20</v>
      </c>
      <c r="C10" s="7">
        <v>25.0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21</v>
      </c>
      <c r="B11" s="6" t="s">
        <v>22</v>
      </c>
      <c r="C11" s="7">
        <v>25.0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23</v>
      </c>
      <c r="B12" s="6" t="s">
        <v>24</v>
      </c>
      <c r="C12" s="7">
        <v>25.0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25</v>
      </c>
      <c r="B13" s="6" t="s">
        <v>26</v>
      </c>
      <c r="C13" s="7">
        <v>12.0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27</v>
      </c>
      <c r="B14" s="6" t="s">
        <v>28</v>
      </c>
      <c r="C14" s="7">
        <v>91.0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29</v>
      </c>
      <c r="B15" s="6" t="s">
        <v>30</v>
      </c>
      <c r="C15" s="7">
        <v>172.0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31</v>
      </c>
      <c r="B16" s="6" t="s">
        <v>32</v>
      </c>
      <c r="C16" s="7">
        <v>27.0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33</v>
      </c>
      <c r="B17" s="6" t="s">
        <v>34</v>
      </c>
      <c r="C17" s="7">
        <v>9.0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35</v>
      </c>
      <c r="B18" s="6" t="s">
        <v>36</v>
      </c>
      <c r="C18" s="7">
        <v>5.0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37</v>
      </c>
      <c r="B19" s="6" t="s">
        <v>38</v>
      </c>
      <c r="C19" s="7">
        <v>6.0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39</v>
      </c>
      <c r="B20" s="6" t="s">
        <v>40</v>
      </c>
      <c r="C20" s="7">
        <v>400.0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41</v>
      </c>
      <c r="B21" s="6" t="s">
        <v>42</v>
      </c>
      <c r="C21" s="7">
        <v>200.0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43</v>
      </c>
      <c r="B22" s="6" t="s">
        <v>44</v>
      </c>
      <c r="C22" s="7">
        <v>300.0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45</v>
      </c>
      <c r="B23" s="6" t="s">
        <v>46</v>
      </c>
      <c r="C23" s="7">
        <v>150.0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47</v>
      </c>
      <c r="B24" s="6" t="s">
        <v>48</v>
      </c>
      <c r="C24" s="7">
        <v>28.0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49</v>
      </c>
      <c r="B25" s="6" t="s">
        <v>50</v>
      </c>
      <c r="C25" s="7">
        <v>77.0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51</v>
      </c>
      <c r="B26" s="6" t="s">
        <v>52</v>
      </c>
      <c r="C26" s="7">
        <v>95.0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53</v>
      </c>
      <c r="B27" s="6" t="s">
        <v>54</v>
      </c>
      <c r="C27" s="7">
        <v>85.0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55</v>
      </c>
      <c r="B28" s="6" t="s">
        <v>56</v>
      </c>
      <c r="C28" s="7">
        <v>0.0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57</v>
      </c>
      <c r="B29" s="6" t="s">
        <v>58</v>
      </c>
      <c r="C29" s="7">
        <v>36.0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59</v>
      </c>
      <c r="B30" s="6" t="s">
        <v>60</v>
      </c>
      <c r="C30" s="7">
        <v>47.0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61</v>
      </c>
      <c r="B31" s="6" t="s">
        <v>62</v>
      </c>
      <c r="C31" s="7">
        <v>13.0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63</v>
      </c>
      <c r="B32" s="6" t="s">
        <v>64</v>
      </c>
      <c r="C32" s="7">
        <v>11.0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65</v>
      </c>
      <c r="B33" s="6" t="s">
        <v>66</v>
      </c>
      <c r="C33" s="7">
        <v>13.0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67</v>
      </c>
      <c r="B34" s="6" t="s">
        <v>68</v>
      </c>
      <c r="C34" s="7">
        <v>256.0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69</v>
      </c>
      <c r="B35" s="6" t="s">
        <v>70</v>
      </c>
      <c r="C35" s="7">
        <v>16.0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71</v>
      </c>
      <c r="B36" s="6" t="s">
        <v>72</v>
      </c>
      <c r="C36" s="7">
        <v>4.0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73</v>
      </c>
      <c r="B37" s="6" t="s">
        <v>74</v>
      </c>
      <c r="C37" s="7">
        <v>19.0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75</v>
      </c>
      <c r="B38" s="6" t="s">
        <v>76</v>
      </c>
      <c r="C38" s="7">
        <v>24.0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77</v>
      </c>
      <c r="B39" s="6" t="s">
        <v>78</v>
      </c>
      <c r="C39" s="7">
        <v>30.0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79</v>
      </c>
      <c r="B40" s="6" t="s">
        <v>80</v>
      </c>
      <c r="C40" s="7">
        <v>27.0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81</v>
      </c>
      <c r="B41" s="6" t="s">
        <v>82</v>
      </c>
      <c r="C41" s="7">
        <v>1.0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 t="s">
        <v>83</v>
      </c>
      <c r="B42" s="6" t="s">
        <v>84</v>
      </c>
      <c r="C42" s="7">
        <v>888.0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 t="s">
        <v>85</v>
      </c>
      <c r="B43" s="6" t="s">
        <v>86</v>
      </c>
      <c r="C43" s="7">
        <v>1272.0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 t="s">
        <v>87</v>
      </c>
      <c r="B44" s="6" t="s">
        <v>88</v>
      </c>
      <c r="C44" s="7">
        <v>936.0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89</v>
      </c>
      <c r="B45" s="6" t="s">
        <v>90</v>
      </c>
      <c r="C45" s="7">
        <v>0.0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91</v>
      </c>
      <c r="B46" s="6" t="s">
        <v>92</v>
      </c>
      <c r="C46" s="7">
        <v>8.0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 t="s">
        <v>93</v>
      </c>
      <c r="B47" s="6" t="s">
        <v>94</v>
      </c>
      <c r="C47" s="7">
        <v>0.0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95</v>
      </c>
      <c r="B48" s="6" t="s">
        <v>96</v>
      </c>
      <c r="C48" s="7">
        <v>0.0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 t="s">
        <v>97</v>
      </c>
      <c r="B49" s="6" t="s">
        <v>98</v>
      </c>
      <c r="C49" s="7">
        <v>0.0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 t="s">
        <v>99</v>
      </c>
      <c r="B50" s="6" t="s">
        <v>100</v>
      </c>
      <c r="C50" s="7">
        <v>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 t="s">
        <v>101</v>
      </c>
      <c r="B51" s="6" t="s">
        <v>102</v>
      </c>
      <c r="C51" s="7">
        <v>21.0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 t="s">
        <v>103</v>
      </c>
      <c r="B52" s="6" t="s">
        <v>104</v>
      </c>
      <c r="C52" s="7">
        <v>2.0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 t="s">
        <v>105</v>
      </c>
      <c r="B53" s="6" t="s">
        <v>106</v>
      </c>
      <c r="C53" s="7">
        <v>121.0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107</v>
      </c>
      <c r="B54" s="6" t="s">
        <v>108</v>
      </c>
      <c r="C54" s="7">
        <v>258.0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109</v>
      </c>
      <c r="B55" s="6" t="s">
        <v>110</v>
      </c>
      <c r="C55" s="7">
        <v>17.0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 t="s">
        <v>111</v>
      </c>
      <c r="B56" s="6" t="s">
        <v>112</v>
      </c>
      <c r="C56" s="7">
        <v>27.0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113</v>
      </c>
      <c r="B57" s="6" t="s">
        <v>114</v>
      </c>
      <c r="C57" s="7">
        <v>63.0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115</v>
      </c>
      <c r="B58" s="6" t="s">
        <v>116</v>
      </c>
      <c r="C58" s="7">
        <v>5.0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117</v>
      </c>
      <c r="B59" s="6" t="s">
        <v>118</v>
      </c>
      <c r="C59" s="7">
        <v>6.0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119</v>
      </c>
      <c r="B60" s="6" t="s">
        <v>120</v>
      </c>
      <c r="C60" s="7">
        <v>8.0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121</v>
      </c>
      <c r="B61" s="6" t="s">
        <v>122</v>
      </c>
      <c r="C61" s="7">
        <v>4.0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123</v>
      </c>
      <c r="B62" s="6" t="s">
        <v>124</v>
      </c>
      <c r="C62" s="7">
        <v>9.0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125</v>
      </c>
      <c r="B63" s="6" t="s">
        <v>126</v>
      </c>
      <c r="C63" s="7">
        <v>9.0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127</v>
      </c>
      <c r="B64" s="6" t="s">
        <v>128</v>
      </c>
      <c r="C64" s="7">
        <v>22.0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129</v>
      </c>
      <c r="B65" s="6" t="s">
        <v>130</v>
      </c>
      <c r="C65" s="7">
        <v>3.0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 t="s">
        <v>131</v>
      </c>
      <c r="B66" s="6" t="s">
        <v>132</v>
      </c>
      <c r="C66" s="7">
        <v>13.0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 t="s">
        <v>133</v>
      </c>
      <c r="B67" s="6" t="s">
        <v>134</v>
      </c>
      <c r="C67" s="7">
        <v>4.0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 t="s">
        <v>135</v>
      </c>
      <c r="B68" s="6" t="s">
        <v>136</v>
      </c>
      <c r="C68" s="7">
        <v>21.0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 t="s">
        <v>137</v>
      </c>
      <c r="B69" s="6" t="s">
        <v>138</v>
      </c>
      <c r="C69" s="7">
        <v>4.0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 t="s">
        <v>139</v>
      </c>
      <c r="B70" s="6" t="s">
        <v>140</v>
      </c>
      <c r="C70" s="7">
        <v>3.0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 t="s">
        <v>141</v>
      </c>
      <c r="B71" s="6" t="s">
        <v>142</v>
      </c>
      <c r="C71" s="7">
        <v>1.0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 t="s">
        <v>143</v>
      </c>
      <c r="B72" s="6" t="s">
        <v>144</v>
      </c>
      <c r="C72" s="7">
        <v>15.0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 t="s">
        <v>145</v>
      </c>
      <c r="B73" s="6" t="s">
        <v>146</v>
      </c>
      <c r="C73" s="7">
        <v>6.0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147</v>
      </c>
      <c r="B74" s="6" t="s">
        <v>148</v>
      </c>
      <c r="C74" s="7">
        <v>0.0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 t="s">
        <v>149</v>
      </c>
      <c r="B75" s="6" t="s">
        <v>150</v>
      </c>
      <c r="C75" s="7">
        <v>10.0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 t="s">
        <v>151</v>
      </c>
      <c r="B76" s="6" t="s">
        <v>152</v>
      </c>
      <c r="C76" s="7">
        <v>0.0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153</v>
      </c>
      <c r="B77" s="6" t="s">
        <v>154</v>
      </c>
      <c r="C77" s="7">
        <v>26.0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155</v>
      </c>
      <c r="B78" s="6" t="s">
        <v>156</v>
      </c>
      <c r="C78" s="7">
        <v>11.0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 t="s">
        <v>157</v>
      </c>
      <c r="B79" s="6" t="s">
        <v>158</v>
      </c>
      <c r="C79" s="7">
        <v>15.0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 t="s">
        <v>159</v>
      </c>
      <c r="B80" s="6" t="s">
        <v>160</v>
      </c>
      <c r="C80" s="7">
        <v>1.0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 t="s">
        <v>161</v>
      </c>
      <c r="B81" s="6" t="s">
        <v>162</v>
      </c>
      <c r="C81" s="7">
        <v>1.0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 t="s">
        <v>163</v>
      </c>
      <c r="B82" s="6" t="s">
        <v>164</v>
      </c>
      <c r="C82" s="7">
        <v>5.0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 t="s">
        <v>165</v>
      </c>
      <c r="B83" s="6" t="s">
        <v>166</v>
      </c>
      <c r="C83" s="7">
        <v>2.0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 t="s">
        <v>167</v>
      </c>
      <c r="B84" s="6" t="s">
        <v>168</v>
      </c>
      <c r="C84" s="7">
        <v>2.0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 t="s">
        <v>169</v>
      </c>
      <c r="B85" s="6" t="s">
        <v>170</v>
      </c>
      <c r="C85" s="7">
        <v>7.0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171</v>
      </c>
      <c r="B86" s="6" t="s">
        <v>172</v>
      </c>
      <c r="C86" s="7">
        <v>2.0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173</v>
      </c>
      <c r="B87" s="6" t="s">
        <v>174</v>
      </c>
      <c r="C87" s="7">
        <v>0.0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175</v>
      </c>
      <c r="B88" s="6" t="s">
        <v>176</v>
      </c>
      <c r="C88" s="7">
        <v>0.0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177</v>
      </c>
      <c r="B89" s="6" t="s">
        <v>178</v>
      </c>
      <c r="C89" s="7">
        <v>2.0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 t="s">
        <v>179</v>
      </c>
      <c r="B90" s="6" t="s">
        <v>180</v>
      </c>
      <c r="C90" s="7">
        <v>0.0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 t="s">
        <v>181</v>
      </c>
      <c r="B91" s="6" t="s">
        <v>182</v>
      </c>
      <c r="C91" s="7">
        <v>19.0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 t="s">
        <v>183</v>
      </c>
      <c r="B92" s="6" t="s">
        <v>184</v>
      </c>
      <c r="C92" s="7">
        <v>0.0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 t="s">
        <v>185</v>
      </c>
      <c r="B93" s="6" t="s">
        <v>186</v>
      </c>
      <c r="C93" s="7">
        <v>0.0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 t="s">
        <v>187</v>
      </c>
      <c r="B94" s="6" t="s">
        <v>188</v>
      </c>
      <c r="C94" s="7">
        <v>41.0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 t="s">
        <v>189</v>
      </c>
      <c r="B95" s="6" t="s">
        <v>190</v>
      </c>
      <c r="C95" s="7">
        <v>3.0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 t="s">
        <v>191</v>
      </c>
      <c r="B96" s="6" t="s">
        <v>192</v>
      </c>
      <c r="C96" s="7">
        <v>35.0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 t="s">
        <v>193</v>
      </c>
      <c r="B97" s="6" t="s">
        <v>194</v>
      </c>
      <c r="C97" s="7">
        <v>2.0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 t="s">
        <v>195</v>
      </c>
      <c r="B98" s="6" t="s">
        <v>196</v>
      </c>
      <c r="C98" s="7">
        <v>24.0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 t="s">
        <v>197</v>
      </c>
      <c r="B99" s="6" t="s">
        <v>198</v>
      </c>
      <c r="C99" s="7">
        <v>7.0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 t="s">
        <v>199</v>
      </c>
      <c r="B100" s="6" t="s">
        <v>200</v>
      </c>
      <c r="C100" s="7">
        <v>2.0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 t="s">
        <v>201</v>
      </c>
      <c r="B101" s="6" t="s">
        <v>202</v>
      </c>
      <c r="C101" s="7">
        <v>29.0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 t="s">
        <v>203</v>
      </c>
      <c r="B102" s="6" t="s">
        <v>204</v>
      </c>
      <c r="C102" s="7">
        <v>20.0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 t="s">
        <v>205</v>
      </c>
      <c r="B103" s="6" t="s">
        <v>206</v>
      </c>
      <c r="C103" s="7">
        <v>11.0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 t="s">
        <v>207</v>
      </c>
      <c r="B104" s="6" t="s">
        <v>208</v>
      </c>
      <c r="C104" s="7">
        <v>9.0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 t="s">
        <v>209</v>
      </c>
      <c r="B105" s="6" t="s">
        <v>210</v>
      </c>
      <c r="C105" s="7">
        <v>0.0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 t="s">
        <v>211</v>
      </c>
      <c r="B106" s="6" t="s">
        <v>212</v>
      </c>
      <c r="C106" s="7">
        <v>29.0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 t="s">
        <v>213</v>
      </c>
      <c r="B107" s="6" t="s">
        <v>214</v>
      </c>
      <c r="C107" s="7">
        <v>17.0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 t="s">
        <v>215</v>
      </c>
      <c r="B108" s="6" t="s">
        <v>216</v>
      </c>
      <c r="C108" s="7">
        <v>18.0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 t="s">
        <v>217</v>
      </c>
      <c r="B109" s="6" t="s">
        <v>218</v>
      </c>
      <c r="C109" s="7">
        <v>18.0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 t="s">
        <v>219</v>
      </c>
      <c r="B110" s="6" t="s">
        <v>220</v>
      </c>
      <c r="C110" s="7">
        <v>0.0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 t="s">
        <v>221</v>
      </c>
      <c r="B111" s="6" t="s">
        <v>222</v>
      </c>
      <c r="C111" s="7">
        <v>2.0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 t="s">
        <v>223</v>
      </c>
      <c r="B112" s="6" t="s">
        <v>224</v>
      </c>
      <c r="C112" s="7">
        <v>7.0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 t="s">
        <v>225</v>
      </c>
      <c r="B113" s="6" t="s">
        <v>226</v>
      </c>
      <c r="C113" s="7">
        <v>8.0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227</v>
      </c>
      <c r="B114" s="6" t="s">
        <v>228</v>
      </c>
      <c r="C114" s="7">
        <v>3.0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 t="s">
        <v>229</v>
      </c>
      <c r="B115" s="6" t="s">
        <v>230</v>
      </c>
      <c r="C115" s="7">
        <v>15.0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 t="s">
        <v>231</v>
      </c>
      <c r="B116" s="6" t="s">
        <v>232</v>
      </c>
      <c r="C116" s="7">
        <v>3.0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 t="s">
        <v>233</v>
      </c>
      <c r="B117" s="6" t="s">
        <v>234</v>
      </c>
      <c r="C117" s="7">
        <v>3.0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 t="s">
        <v>235</v>
      </c>
      <c r="B118" s="6" t="s">
        <v>236</v>
      </c>
      <c r="C118" s="7">
        <v>24.0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 t="s">
        <v>237</v>
      </c>
      <c r="B119" s="6" t="s">
        <v>238</v>
      </c>
      <c r="C119" s="7">
        <v>24.0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 t="s">
        <v>239</v>
      </c>
      <c r="B120" s="6" t="s">
        <v>240</v>
      </c>
      <c r="C120" s="7">
        <v>9.0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 t="s">
        <v>241</v>
      </c>
      <c r="B121" s="6" t="s">
        <v>242</v>
      </c>
      <c r="C121" s="7">
        <v>0.0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 t="s">
        <v>243</v>
      </c>
      <c r="B122" s="6" t="s">
        <v>244</v>
      </c>
      <c r="C122" s="7">
        <v>10.0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 t="s">
        <v>245</v>
      </c>
      <c r="B123" s="6" t="s">
        <v>246</v>
      </c>
      <c r="C123" s="7">
        <v>6.0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 t="s">
        <v>247</v>
      </c>
      <c r="B124" s="6" t="s">
        <v>248</v>
      </c>
      <c r="C124" s="7">
        <v>0.0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 t="s">
        <v>249</v>
      </c>
      <c r="B125" s="6" t="s">
        <v>250</v>
      </c>
      <c r="C125" s="7">
        <v>0.0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 t="s">
        <v>251</v>
      </c>
      <c r="B126" s="6" t="s">
        <v>252</v>
      </c>
      <c r="C126" s="7">
        <v>5.0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 t="s">
        <v>253</v>
      </c>
      <c r="B127" s="6" t="s">
        <v>254</v>
      </c>
      <c r="C127" s="7">
        <v>0.0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 t="s">
        <v>255</v>
      </c>
      <c r="B128" s="6" t="s">
        <v>256</v>
      </c>
      <c r="C128" s="7">
        <v>6.0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 t="s">
        <v>257</v>
      </c>
      <c r="B129" s="6" t="s">
        <v>258</v>
      </c>
      <c r="C129" s="7">
        <v>1.0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 t="s">
        <v>259</v>
      </c>
      <c r="B130" s="6" t="s">
        <v>260</v>
      </c>
      <c r="C130" s="7">
        <v>0.0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 t="s">
        <v>261</v>
      </c>
      <c r="B131" s="6" t="s">
        <v>262</v>
      </c>
      <c r="C131" s="7">
        <v>0.0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 t="s">
        <v>263</v>
      </c>
      <c r="B132" s="6" t="s">
        <v>264</v>
      </c>
      <c r="C132" s="7">
        <v>3.0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 t="s">
        <v>265</v>
      </c>
      <c r="B133" s="6" t="s">
        <v>266</v>
      </c>
      <c r="C133" s="7">
        <v>19.0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 t="s">
        <v>267</v>
      </c>
      <c r="B134" s="6" t="s">
        <v>268</v>
      </c>
      <c r="C134" s="7">
        <v>12.0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 t="s">
        <v>269</v>
      </c>
      <c r="B135" s="6" t="s">
        <v>270</v>
      </c>
      <c r="C135" s="7">
        <v>0.0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 t="s">
        <v>271</v>
      </c>
      <c r="B136" s="6" t="s">
        <v>272</v>
      </c>
      <c r="C136" s="7">
        <v>13.0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 t="s">
        <v>273</v>
      </c>
      <c r="B137" s="6" t="s">
        <v>274</v>
      </c>
      <c r="C137" s="7">
        <v>0.0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 t="s">
        <v>275</v>
      </c>
      <c r="B138" s="6" t="s">
        <v>276</v>
      </c>
      <c r="C138" s="7">
        <v>12.0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 t="s">
        <v>277</v>
      </c>
      <c r="B139" s="6" t="s">
        <v>278</v>
      </c>
      <c r="C139" s="7">
        <v>3.0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 t="s">
        <v>279</v>
      </c>
      <c r="B140" s="6" t="s">
        <v>280</v>
      </c>
      <c r="C140" s="7">
        <v>0.0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 t="s">
        <v>281</v>
      </c>
      <c r="B141" s="6" t="s">
        <v>282</v>
      </c>
      <c r="C141" s="7">
        <v>6.0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 t="s">
        <v>283</v>
      </c>
      <c r="B142" s="6" t="s">
        <v>284</v>
      </c>
      <c r="C142" s="7">
        <v>20.0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 t="s">
        <v>285</v>
      </c>
      <c r="B143" s="6" t="s">
        <v>286</v>
      </c>
      <c r="C143" s="7">
        <v>0.0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 t="s">
        <v>287</v>
      </c>
      <c r="B144" s="6" t="s">
        <v>288</v>
      </c>
      <c r="C144" s="7">
        <v>0.0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 t="s">
        <v>289</v>
      </c>
      <c r="B145" s="6" t="s">
        <v>290</v>
      </c>
      <c r="C145" s="7">
        <v>0.0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 t="s">
        <v>291</v>
      </c>
      <c r="B146" s="6" t="s">
        <v>292</v>
      </c>
      <c r="C146" s="7">
        <v>0.0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 t="s">
        <v>293</v>
      </c>
      <c r="B147" s="6" t="s">
        <v>294</v>
      </c>
      <c r="C147" s="7">
        <v>22.0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 t="s">
        <v>295</v>
      </c>
      <c r="B148" s="6" t="s">
        <v>296</v>
      </c>
      <c r="C148" s="7">
        <v>0.0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 t="s">
        <v>297</v>
      </c>
      <c r="B149" s="6" t="s">
        <v>298</v>
      </c>
      <c r="C149" s="7">
        <v>10.0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 t="s">
        <v>299</v>
      </c>
      <c r="B150" s="6" t="s">
        <v>300</v>
      </c>
      <c r="C150" s="7">
        <v>3.0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 t="s">
        <v>301</v>
      </c>
      <c r="B151" s="6" t="s">
        <v>302</v>
      </c>
      <c r="C151" s="7">
        <v>2.0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 t="s">
        <v>303</v>
      </c>
      <c r="B152" s="6" t="s">
        <v>304</v>
      </c>
      <c r="C152" s="7">
        <v>9.0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 t="s">
        <v>305</v>
      </c>
      <c r="B153" s="6" t="s">
        <v>306</v>
      </c>
      <c r="C153" s="7">
        <v>0.0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 t="s">
        <v>307</v>
      </c>
      <c r="B154" s="6" t="s">
        <v>308</v>
      </c>
      <c r="C154" s="7">
        <v>0.0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 t="s">
        <v>309</v>
      </c>
      <c r="B155" s="6" t="s">
        <v>310</v>
      </c>
      <c r="C155" s="7">
        <v>0.0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 t="s">
        <v>311</v>
      </c>
      <c r="B156" s="6" t="s">
        <v>312</v>
      </c>
      <c r="C156" s="7">
        <v>79.0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 t="s">
        <v>313</v>
      </c>
      <c r="B157" s="6" t="s">
        <v>314</v>
      </c>
      <c r="C157" s="7">
        <v>28.0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 t="s">
        <v>315</v>
      </c>
      <c r="B158" s="6" t="s">
        <v>316</v>
      </c>
      <c r="C158" s="7">
        <v>19.0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 t="s">
        <v>317</v>
      </c>
      <c r="B159" s="6" t="s">
        <v>318</v>
      </c>
      <c r="C159" s="7">
        <v>54.0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 t="s">
        <v>319</v>
      </c>
      <c r="B160" s="6" t="s">
        <v>320</v>
      </c>
      <c r="C160" s="7">
        <v>2.0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 t="s">
        <v>321</v>
      </c>
      <c r="B161" s="6" t="s">
        <v>322</v>
      </c>
      <c r="C161" s="7">
        <v>2.0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 t="s">
        <v>323</v>
      </c>
      <c r="B162" s="6" t="s">
        <v>324</v>
      </c>
      <c r="C162" s="7">
        <v>6.0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 t="s">
        <v>325</v>
      </c>
      <c r="B163" s="6" t="s">
        <v>326</v>
      </c>
      <c r="C163" s="7">
        <v>0.0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 t="s">
        <v>327</v>
      </c>
      <c r="B164" s="6" t="s">
        <v>328</v>
      </c>
      <c r="C164" s="7">
        <v>1.0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 t="s">
        <v>329</v>
      </c>
      <c r="B165" s="6" t="s">
        <v>330</v>
      </c>
      <c r="C165" s="7">
        <v>0.0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 t="s">
        <v>331</v>
      </c>
      <c r="B166" s="6" t="s">
        <v>332</v>
      </c>
      <c r="C166" s="7">
        <v>27.0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 t="s">
        <v>333</v>
      </c>
      <c r="B167" s="6" t="s">
        <v>334</v>
      </c>
      <c r="C167" s="7">
        <v>17.0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 t="s">
        <v>335</v>
      </c>
      <c r="B168" s="6" t="s">
        <v>336</v>
      </c>
      <c r="C168" s="7">
        <v>0.0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 t="s">
        <v>337</v>
      </c>
      <c r="B169" s="6" t="s">
        <v>338</v>
      </c>
      <c r="C169" s="7">
        <v>1.0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 t="s">
        <v>339</v>
      </c>
      <c r="B170" s="6" t="s">
        <v>340</v>
      </c>
      <c r="C170" s="7">
        <v>6.0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 t="s">
        <v>341</v>
      </c>
      <c r="B171" s="6" t="s">
        <v>342</v>
      </c>
      <c r="C171" s="7">
        <v>0.0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 t="s">
        <v>343</v>
      </c>
      <c r="B172" s="6" t="s">
        <v>344</v>
      </c>
      <c r="C172" s="7">
        <v>0.0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 t="s">
        <v>345</v>
      </c>
      <c r="B173" s="6" t="s">
        <v>346</v>
      </c>
      <c r="C173" s="7">
        <v>1.0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 t="s">
        <v>347</v>
      </c>
      <c r="B174" s="6" t="s">
        <v>348</v>
      </c>
      <c r="C174" s="7">
        <v>0.0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 t="s">
        <v>349</v>
      </c>
      <c r="B175" s="6" t="s">
        <v>350</v>
      </c>
      <c r="C175" s="7">
        <v>5.0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 t="s">
        <v>351</v>
      </c>
      <c r="B176" s="6" t="s">
        <v>352</v>
      </c>
      <c r="C176" s="7">
        <v>6.0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 t="s">
        <v>353</v>
      </c>
      <c r="B177" s="6" t="s">
        <v>354</v>
      </c>
      <c r="C177" s="7">
        <v>23.0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 t="s">
        <v>355</v>
      </c>
      <c r="B178" s="6" t="s">
        <v>356</v>
      </c>
      <c r="C178" s="7">
        <v>100.0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 t="s">
        <v>357</v>
      </c>
      <c r="B179" s="6" t="s">
        <v>358</v>
      </c>
      <c r="C179" s="7">
        <v>85.0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359</v>
      </c>
      <c r="B180" s="6" t="s">
        <v>360</v>
      </c>
      <c r="C180" s="7">
        <v>14.0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 t="s">
        <v>361</v>
      </c>
      <c r="B181" s="6" t="s">
        <v>362</v>
      </c>
      <c r="C181" s="7">
        <v>65.0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363</v>
      </c>
      <c r="B182" s="6" t="s">
        <v>364</v>
      </c>
      <c r="C182" s="7">
        <v>188.0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365</v>
      </c>
      <c r="B183" s="6" t="s">
        <v>366</v>
      </c>
      <c r="C183" s="7">
        <v>4.0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367</v>
      </c>
      <c r="B184" s="6" t="s">
        <v>368</v>
      </c>
      <c r="C184" s="7">
        <v>4.0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369</v>
      </c>
      <c r="B185" s="6" t="s">
        <v>370</v>
      </c>
      <c r="C185" s="7">
        <v>1.0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371</v>
      </c>
      <c r="B186" s="6" t="s">
        <v>372</v>
      </c>
      <c r="C186" s="7">
        <v>1.0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/>
      <c r="B187" s="4"/>
      <c r="C187" s="1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/>
      <c r="B188" s="4"/>
      <c r="C188" s="1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/>
      <c r="B189" s="4"/>
      <c r="C189" s="1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/>
      <c r="B190" s="4"/>
      <c r="C190" s="1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/>
      <c r="B191" s="4"/>
      <c r="C191" s="1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/>
      <c r="B192" s="4"/>
      <c r="C192" s="1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/>
      <c r="B193" s="4"/>
      <c r="C193" s="1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/>
      <c r="B194" s="4"/>
      <c r="C194" s="1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/>
      <c r="B195" s="4"/>
      <c r="C195" s="1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/>
      <c r="B196" s="4"/>
      <c r="C196" s="1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/>
      <c r="B197" s="4"/>
      <c r="C197" s="1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/>
      <c r="B198" s="4"/>
      <c r="C198" s="1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/>
      <c r="B199" s="4"/>
      <c r="C199" s="1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/>
      <c r="B200" s="4"/>
      <c r="C200" s="1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/>
      <c r="B201" s="4"/>
      <c r="C201" s="1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/>
      <c r="B202" s="4"/>
      <c r="C202" s="1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/>
      <c r="B203" s="4"/>
      <c r="C203" s="1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/>
      <c r="B204" s="4"/>
      <c r="C204" s="1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/>
      <c r="B205" s="4"/>
      <c r="C205" s="1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/>
      <c r="B206" s="4"/>
      <c r="C206" s="1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/>
      <c r="B207" s="4"/>
      <c r="C207" s="1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/>
      <c r="B208" s="4"/>
      <c r="C208" s="1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/>
      <c r="B209" s="4"/>
      <c r="C209" s="1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/>
      <c r="B210" s="4"/>
      <c r="C210" s="1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/>
      <c r="B211" s="4"/>
      <c r="C211" s="1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4"/>
      <c r="C212" s="1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/>
      <c r="B213" s="4"/>
      <c r="C213" s="1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/>
      <c r="B214" s="4"/>
      <c r="C214" s="1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/>
      <c r="B215" s="4"/>
      <c r="C215" s="1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/>
      <c r="B216" s="4"/>
      <c r="C216" s="1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/>
      <c r="B217" s="4"/>
      <c r="C217" s="1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/>
      <c r="B218" s="4"/>
      <c r="C218" s="1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4"/>
      <c r="C219" s="1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/>
      <c r="B220" s="4"/>
      <c r="C220" s="1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/>
      <c r="B221" s="4"/>
      <c r="C221" s="1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/>
      <c r="B222" s="4"/>
      <c r="C222" s="1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/>
      <c r="B223" s="4"/>
      <c r="C223" s="1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/>
      <c r="B224" s="4"/>
      <c r="C224" s="1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/>
      <c r="B225" s="4"/>
      <c r="C225" s="1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/>
      <c r="B226" s="4"/>
      <c r="C226" s="1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/>
      <c r="B227" s="4"/>
      <c r="C227" s="1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/>
      <c r="B228" s="4"/>
      <c r="C228" s="1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/>
      <c r="B229" s="4"/>
      <c r="C229" s="1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/>
      <c r="B230" s="4"/>
      <c r="C230" s="1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/>
      <c r="B231" s="4"/>
      <c r="C231" s="1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/>
      <c r="B232" s="4"/>
      <c r="C232" s="1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/>
      <c r="B233" s="4"/>
      <c r="C233" s="1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/>
      <c r="B234" s="4"/>
      <c r="C234" s="1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/>
      <c r="B235" s="4"/>
      <c r="C235" s="1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/>
      <c r="B236" s="4"/>
      <c r="C236" s="1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/>
      <c r="B237" s="4"/>
      <c r="C237" s="1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/>
      <c r="B238" s="4"/>
      <c r="C238" s="1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/>
      <c r="B239" s="4"/>
      <c r="C239" s="1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/>
      <c r="B240" s="4"/>
      <c r="C240" s="1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/>
      <c r="B241" s="4"/>
      <c r="C241" s="1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/>
      <c r="B242" s="4"/>
      <c r="C242" s="1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/>
      <c r="B243" s="4"/>
      <c r="C243" s="1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/>
      <c r="B244" s="4"/>
      <c r="C244" s="1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/>
      <c r="B245" s="4"/>
      <c r="C245" s="1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/>
      <c r="B246" s="4"/>
      <c r="C246" s="1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/>
      <c r="B247" s="4"/>
      <c r="C247" s="1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/>
      <c r="B248" s="4"/>
      <c r="C248" s="1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/>
      <c r="B249" s="4"/>
      <c r="C249" s="1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/>
      <c r="B250" s="4"/>
      <c r="C250" s="1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/>
      <c r="B251" s="4"/>
      <c r="C251" s="1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/>
      <c r="B252" s="4"/>
      <c r="C252" s="1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/>
      <c r="B253" s="4"/>
      <c r="C253" s="1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/>
      <c r="B254" s="4"/>
      <c r="C254" s="1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/>
      <c r="B255" s="4"/>
      <c r="C255" s="1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/>
      <c r="B256" s="4"/>
      <c r="C256" s="1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/>
      <c r="B257" s="4"/>
      <c r="C257" s="1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/>
      <c r="B258" s="4"/>
      <c r="C258" s="1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/>
      <c r="B259" s="4"/>
      <c r="C259" s="1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/>
      <c r="B260" s="4"/>
      <c r="C260" s="1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/>
      <c r="B261" s="4"/>
      <c r="C261" s="1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/>
      <c r="B262" s="4"/>
      <c r="C262" s="1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/>
      <c r="B263" s="4"/>
      <c r="C263" s="1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/>
      <c r="B264" s="4"/>
      <c r="C264" s="1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/>
      <c r="B265" s="4"/>
      <c r="C265" s="1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/>
      <c r="B266" s="4"/>
      <c r="C266" s="1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/>
      <c r="B267" s="4"/>
      <c r="C267" s="1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/>
      <c r="B268" s="4"/>
      <c r="C268" s="1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/>
      <c r="B269" s="4"/>
      <c r="C269" s="1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/>
      <c r="B270" s="4"/>
      <c r="C270" s="1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/>
      <c r="B271" s="4"/>
      <c r="C271" s="1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/>
      <c r="B272" s="4"/>
      <c r="C272" s="1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/>
      <c r="B273" s="4"/>
      <c r="C273" s="1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/>
      <c r="B274" s="4"/>
      <c r="C274" s="1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/>
      <c r="B275" s="4"/>
      <c r="C275" s="1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/>
      <c r="B276" s="4"/>
      <c r="C276" s="1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/>
      <c r="B277" s="4"/>
      <c r="C277" s="1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/>
      <c r="B278" s="4"/>
      <c r="C278" s="1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/>
      <c r="B279" s="4"/>
      <c r="C279" s="1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/>
      <c r="B280" s="4"/>
      <c r="C280" s="1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/>
      <c r="B281" s="4"/>
      <c r="C281" s="1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/>
      <c r="B282" s="4"/>
      <c r="C282" s="1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/>
      <c r="B283" s="4"/>
      <c r="C283" s="1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/>
      <c r="B284" s="4"/>
      <c r="C284" s="1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/>
      <c r="B285" s="4"/>
      <c r="C285" s="1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/>
      <c r="B286" s="4"/>
      <c r="C286" s="1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/>
      <c r="B287" s="4"/>
      <c r="C287" s="1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/>
      <c r="B288" s="4"/>
      <c r="C288" s="1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/>
      <c r="B289" s="4"/>
      <c r="C289" s="1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/>
      <c r="B290" s="4"/>
      <c r="C290" s="1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/>
      <c r="B291" s="4"/>
      <c r="C291" s="1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/>
      <c r="B292" s="4"/>
      <c r="C292" s="1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/>
      <c r="B293" s="4"/>
      <c r="C293" s="1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/>
      <c r="B294" s="4"/>
      <c r="C294" s="1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/>
      <c r="B295" s="4"/>
      <c r="C295" s="1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/>
      <c r="B296" s="4"/>
      <c r="C296" s="1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/>
      <c r="B297" s="4"/>
      <c r="C297" s="1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/>
      <c r="B298" s="4"/>
      <c r="C298" s="1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/>
      <c r="B299" s="4"/>
      <c r="C299" s="1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/>
      <c r="B300" s="4"/>
      <c r="C300" s="1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/>
      <c r="B301" s="4"/>
      <c r="C301" s="1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/>
      <c r="B302" s="4"/>
      <c r="C302" s="1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/>
      <c r="B303" s="4"/>
      <c r="C303" s="1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/>
      <c r="B304" s="4"/>
      <c r="C304" s="1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/>
      <c r="B305" s="4"/>
      <c r="C305" s="1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/>
      <c r="B306" s="4"/>
      <c r="C306" s="1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/>
      <c r="B307" s="4"/>
      <c r="C307" s="1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/>
      <c r="B308" s="4"/>
      <c r="C308" s="1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/>
      <c r="B309" s="4"/>
      <c r="C309" s="1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/>
      <c r="B310" s="4"/>
      <c r="C310" s="1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/>
      <c r="B311" s="4"/>
      <c r="C311" s="1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/>
      <c r="B312" s="4"/>
      <c r="C312" s="1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/>
      <c r="B313" s="4"/>
      <c r="C313" s="1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/>
      <c r="B314" s="4"/>
      <c r="C314" s="1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/>
      <c r="B315" s="4"/>
      <c r="C315" s="1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/>
      <c r="B316" s="4"/>
      <c r="C316" s="1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/>
      <c r="B317" s="4"/>
      <c r="C317" s="1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/>
      <c r="B318" s="4"/>
      <c r="C318" s="1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/>
      <c r="B319" s="4"/>
      <c r="C319" s="1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/>
      <c r="B320" s="4"/>
      <c r="C320" s="1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/>
      <c r="B321" s="4"/>
      <c r="C321" s="1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/>
      <c r="B322" s="4"/>
      <c r="C322" s="1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/>
      <c r="B323" s="4"/>
      <c r="C323" s="1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/>
      <c r="B324" s="4"/>
      <c r="C324" s="1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/>
      <c r="B325" s="4"/>
      <c r="C325" s="1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/>
      <c r="B326" s="4"/>
      <c r="C326" s="1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/>
      <c r="B327" s="4"/>
      <c r="C327" s="1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/>
      <c r="B328" s="4"/>
      <c r="C328" s="1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/>
      <c r="B329" s="4"/>
      <c r="C329" s="1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/>
      <c r="B330" s="4"/>
      <c r="C330" s="1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/>
      <c r="B331" s="4"/>
      <c r="C331" s="1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/>
      <c r="B332" s="4"/>
      <c r="C332" s="1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/>
      <c r="B333" s="4"/>
      <c r="C333" s="1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/>
      <c r="B334" s="4"/>
      <c r="C334" s="1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/>
      <c r="B335" s="4"/>
      <c r="C335" s="1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/>
      <c r="B336" s="4"/>
      <c r="C336" s="1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/>
      <c r="B337" s="4"/>
      <c r="C337" s="1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/>
      <c r="B338" s="4"/>
      <c r="C338" s="1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/>
      <c r="B339" s="4"/>
      <c r="C339" s="1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/>
      <c r="B340" s="4"/>
      <c r="C340" s="1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/>
      <c r="B341" s="4"/>
      <c r="C341" s="1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/>
      <c r="B342" s="4"/>
      <c r="C342" s="1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/>
      <c r="B343" s="4"/>
      <c r="C343" s="1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/>
      <c r="B344" s="4"/>
      <c r="C344" s="1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/>
      <c r="B345" s="4"/>
      <c r="C345" s="1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/>
      <c r="B346" s="4"/>
      <c r="C346" s="1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/>
      <c r="B347" s="4"/>
      <c r="C347" s="1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/>
      <c r="B348" s="4"/>
      <c r="C348" s="1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/>
      <c r="B349" s="4"/>
      <c r="C349" s="1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/>
      <c r="B350" s="4"/>
      <c r="C350" s="1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/>
      <c r="B351" s="4"/>
      <c r="C351" s="1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/>
      <c r="B352" s="4"/>
      <c r="C352" s="1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/>
      <c r="B353" s="4"/>
      <c r="C353" s="1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/>
      <c r="B354" s="4"/>
      <c r="C354" s="1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/>
      <c r="B355" s="4"/>
      <c r="C355" s="1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/>
      <c r="B356" s="4"/>
      <c r="C356" s="1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/>
      <c r="B357" s="4"/>
      <c r="C357" s="1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/>
      <c r="B358" s="4"/>
      <c r="C358" s="1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/>
      <c r="B359" s="4"/>
      <c r="C359" s="1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/>
      <c r="B360" s="4"/>
      <c r="C360" s="1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/>
      <c r="B361" s="4"/>
      <c r="C361" s="1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/>
      <c r="B362" s="4"/>
      <c r="C362" s="1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/>
      <c r="B363" s="4"/>
      <c r="C363" s="1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/>
      <c r="B364" s="4"/>
      <c r="C364" s="1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/>
      <c r="B365" s="4"/>
      <c r="C365" s="1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/>
      <c r="B366" s="4"/>
      <c r="C366" s="1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/>
      <c r="B367" s="4"/>
      <c r="C367" s="1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/>
      <c r="B368" s="4"/>
      <c r="C368" s="1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/>
      <c r="B369" s="4"/>
      <c r="C369" s="1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/>
      <c r="B370" s="4"/>
      <c r="C370" s="1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/>
      <c r="B371" s="4"/>
      <c r="C371" s="1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/>
      <c r="B372" s="4"/>
      <c r="C372" s="1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/>
      <c r="B373" s="4"/>
      <c r="C373" s="1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/>
      <c r="B374" s="4"/>
      <c r="C374" s="1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/>
      <c r="B375" s="4"/>
      <c r="C375" s="1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/>
      <c r="B376" s="4"/>
      <c r="C376" s="1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/>
      <c r="B377" s="4"/>
      <c r="C377" s="1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/>
      <c r="B378" s="4"/>
      <c r="C378" s="1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/>
      <c r="B379" s="4"/>
      <c r="C379" s="1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/>
      <c r="B380" s="4"/>
      <c r="C380" s="1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/>
      <c r="B381" s="4"/>
      <c r="C381" s="1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/>
      <c r="B382" s="4"/>
      <c r="C382" s="1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/>
      <c r="B383" s="4"/>
      <c r="C383" s="1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/>
      <c r="B384" s="4"/>
      <c r="C384" s="1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/>
      <c r="B385" s="4"/>
      <c r="C385" s="1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/>
      <c r="B386" s="4"/>
      <c r="C386" s="1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/>
      <c r="B387" s="4"/>
      <c r="C387" s="1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/>
      <c r="B388" s="4"/>
      <c r="C388" s="1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/>
      <c r="B389" s="4"/>
      <c r="C389" s="1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/>
      <c r="B390" s="4"/>
      <c r="C390" s="1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/>
      <c r="B391" s="4"/>
      <c r="C391" s="1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/>
      <c r="B392" s="4"/>
      <c r="C392" s="1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/>
      <c r="B393" s="4"/>
      <c r="C393" s="1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/>
      <c r="B394" s="4"/>
      <c r="C394" s="1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/>
      <c r="B395" s="4"/>
      <c r="C395" s="1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/>
      <c r="B396" s="4"/>
      <c r="C396" s="1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/>
      <c r="B397" s="4"/>
      <c r="C397" s="1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/>
      <c r="B398" s="4"/>
      <c r="C398" s="1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/>
      <c r="B399" s="4"/>
      <c r="C399" s="1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/>
      <c r="B400" s="4"/>
      <c r="C400" s="1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/>
      <c r="B401" s="4"/>
      <c r="C401" s="1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/>
      <c r="B402" s="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/>
      <c r="B403" s="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/>
      <c r="B404" s="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/>
      <c r="B405" s="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/>
      <c r="B406" s="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/>
      <c r="B407" s="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/>
      <c r="B408" s="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/>
      <c r="B409" s="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/>
      <c r="B410" s="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/>
      <c r="B411" s="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/>
      <c r="B412" s="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/>
      <c r="B413" s="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/>
      <c r="B414" s="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/>
      <c r="B415" s="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/>
      <c r="B416" s="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/>
      <c r="B417" s="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/>
      <c r="B418" s="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/>
      <c r="B419" s="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/>
      <c r="B420" s="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/>
      <c r="B421" s="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/>
      <c r="B422" s="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/>
      <c r="B423" s="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/>
      <c r="B424" s="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/>
      <c r="B425" s="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/>
      <c r="B426" s="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/>
      <c r="B427" s="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/>
      <c r="B428" s="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/>
      <c r="B429" s="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/>
      <c r="B430" s="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/>
      <c r="B431" s="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/>
      <c r="B432" s="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/>
      <c r="B433" s="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/>
      <c r="B434" s="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/>
      <c r="B435" s="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/>
      <c r="B436" s="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/>
      <c r="B437" s="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/>
      <c r="B438" s="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/>
      <c r="B439" s="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/>
      <c r="B440" s="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/>
      <c r="B441" s="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/>
      <c r="B442" s="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/>
      <c r="B443" s="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/>
      <c r="B444" s="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/>
      <c r="B445" s="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/>
      <c r="B446" s="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/>
      <c r="B447" s="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/>
      <c r="B448" s="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/>
      <c r="B449" s="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/>
      <c r="B450" s="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/>
      <c r="B451" s="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/>
      <c r="B452" s="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/>
      <c r="B453" s="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/>
      <c r="B454" s="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/>
      <c r="B455" s="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/>
      <c r="B456" s="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/>
      <c r="B457" s="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/>
      <c r="B458" s="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/>
      <c r="B459" s="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/>
      <c r="B460" s="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/>
      <c r="B461" s="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/>
      <c r="B462" s="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/>
      <c r="B463" s="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/>
      <c r="B464" s="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/>
      <c r="B465" s="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/>
      <c r="B466" s="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/>
      <c r="B467" s="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/>
      <c r="B468" s="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/>
      <c r="B469" s="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/>
      <c r="B470" s="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/>
      <c r="B471" s="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/>
      <c r="B472" s="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/>
      <c r="B473" s="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/>
      <c r="B474" s="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/>
      <c r="B475" s="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/>
      <c r="B476" s="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/>
      <c r="B477" s="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/>
      <c r="B478" s="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/>
      <c r="B479" s="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/>
      <c r="B480" s="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/>
      <c r="B481" s="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/>
      <c r="B482" s="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/>
      <c r="B483" s="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/>
      <c r="B484" s="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/>
      <c r="B485" s="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/>
      <c r="B486" s="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/>
      <c r="B487" s="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/>
      <c r="B488" s="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/>
      <c r="B489" s="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/>
      <c r="B490" s="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/>
      <c r="B491" s="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/>
      <c r="B492" s="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/>
      <c r="B493" s="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/>
      <c r="B494" s="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/>
      <c r="B495" s="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/>
      <c r="B496" s="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/>
      <c r="B497" s="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/>
      <c r="B498" s="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/>
      <c r="B499" s="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/>
      <c r="B500" s="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/>
      <c r="B501" s="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/>
      <c r="B502" s="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/>
      <c r="B503" s="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/>
      <c r="B504" s="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/>
      <c r="B505" s="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/>
      <c r="B506" s="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/>
      <c r="B507" s="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/>
      <c r="B508" s="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/>
      <c r="B509" s="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/>
      <c r="B510" s="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/>
      <c r="B511" s="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/>
      <c r="B512" s="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/>
      <c r="B513" s="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/>
      <c r="B514" s="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/>
      <c r="B515" s="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/>
      <c r="B516" s="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/>
      <c r="B517" s="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/>
      <c r="B518" s="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/>
      <c r="B519" s="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/>
      <c r="B520" s="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/>
      <c r="B521" s="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/>
      <c r="B522" s="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/>
      <c r="B523" s="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/>
      <c r="B524" s="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/>
      <c r="B525" s="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/>
      <c r="B526" s="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/>
      <c r="B527" s="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/>
      <c r="B528" s="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/>
      <c r="B529" s="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/>
      <c r="B530" s="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/>
      <c r="B531" s="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/>
      <c r="B532" s="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/>
      <c r="B533" s="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/>
      <c r="B534" s="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/>
      <c r="B535" s="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/>
      <c r="B536" s="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/>
      <c r="B537" s="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/>
      <c r="B538" s="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/>
      <c r="B539" s="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/>
      <c r="B540" s="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/>
      <c r="B541" s="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/>
      <c r="B542" s="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/>
      <c r="B543" s="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/>
      <c r="B544" s="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/>
      <c r="B545" s="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/>
      <c r="B546" s="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/>
      <c r="B547" s="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/>
      <c r="B548" s="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/>
      <c r="B549" s="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/>
      <c r="B550" s="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/>
      <c r="B551" s="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/>
      <c r="B552" s="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/>
      <c r="B553" s="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/>
      <c r="B554" s="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/>
      <c r="B555" s="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/>
      <c r="B556" s="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/>
      <c r="B557" s="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/>
      <c r="B558" s="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/>
      <c r="B559" s="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/>
      <c r="B560" s="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/>
      <c r="B561" s="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/>
      <c r="B562" s="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/>
      <c r="B563" s="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/>
      <c r="B564" s="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/>
      <c r="B565" s="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/>
      <c r="B566" s="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/>
      <c r="B567" s="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/>
      <c r="B568" s="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/>
      <c r="B569" s="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/>
      <c r="B570" s="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/>
      <c r="B571" s="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/>
      <c r="B572" s="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/>
      <c r="B573" s="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/>
      <c r="B574" s="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/>
      <c r="B575" s="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/>
      <c r="B576" s="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/>
      <c r="B577" s="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/>
      <c r="B578" s="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/>
      <c r="B579" s="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/>
      <c r="B580" s="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/>
      <c r="B581" s="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/>
      <c r="B582" s="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/>
      <c r="B583" s="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/>
      <c r="B584" s="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/>
      <c r="B585" s="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/>
      <c r="B586" s="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/>
      <c r="B587" s="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/>
      <c r="B588" s="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/>
      <c r="B589" s="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/>
      <c r="B590" s="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/>
      <c r="B591" s="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/>
      <c r="B592" s="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/>
      <c r="B593" s="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/>
      <c r="B594" s="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/>
      <c r="B595" s="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/>
      <c r="B596" s="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/>
      <c r="B597" s="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/>
      <c r="B598" s="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/>
      <c r="B599" s="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/>
      <c r="B600" s="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/>
      <c r="B601" s="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/>
      <c r="B602" s="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/>
      <c r="B603" s="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/>
      <c r="B604" s="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/>
      <c r="B605" s="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/>
      <c r="B606" s="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/>
      <c r="B607" s="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/>
      <c r="B608" s="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/>
      <c r="B609" s="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/>
      <c r="B610" s="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/>
      <c r="B611" s="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/>
      <c r="B612" s="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/>
      <c r="B613" s="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/>
      <c r="B614" s="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/>
      <c r="B615" s="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/>
      <c r="B616" s="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/>
      <c r="B617" s="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/>
      <c r="B618" s="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/>
      <c r="B619" s="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/>
      <c r="B620" s="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/>
      <c r="B621" s="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/>
      <c r="B622" s="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/>
      <c r="B623" s="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/>
      <c r="B624" s="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/>
      <c r="B625" s="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/>
      <c r="B626" s="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/>
      <c r="B627" s="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/>
      <c r="B628" s="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/>
      <c r="B629" s="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/>
      <c r="B630" s="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/>
      <c r="B631" s="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/>
      <c r="B632" s="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/>
      <c r="B633" s="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/>
      <c r="B634" s="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/>
      <c r="B635" s="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/>
      <c r="B636" s="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/>
      <c r="B637" s="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/>
      <c r="B638" s="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/>
      <c r="B639" s="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/>
      <c r="B640" s="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/>
      <c r="B641" s="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/>
      <c r="B642" s="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/>
      <c r="B643" s="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/>
      <c r="B644" s="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/>
      <c r="B645" s="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/>
      <c r="B646" s="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/>
      <c r="B647" s="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/>
      <c r="B648" s="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/>
      <c r="B649" s="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/>
      <c r="B650" s="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/>
      <c r="B651" s="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/>
      <c r="B652" s="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/>
      <c r="B653" s="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/>
      <c r="B654" s="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/>
      <c r="B655" s="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/>
      <c r="B656" s="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/>
      <c r="B657" s="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/>
      <c r="B658" s="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/>
      <c r="B659" s="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/>
      <c r="B660" s="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/>
      <c r="B661" s="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/>
      <c r="B662" s="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/>
      <c r="B663" s="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/>
      <c r="B664" s="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/>
      <c r="B665" s="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/>
      <c r="B666" s="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/>
      <c r="B667" s="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/>
      <c r="B668" s="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/>
      <c r="B669" s="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/>
      <c r="B670" s="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/>
      <c r="B671" s="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/>
      <c r="B672" s="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/>
      <c r="B673" s="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/>
      <c r="B674" s="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/>
      <c r="B675" s="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/>
      <c r="B676" s="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/>
      <c r="B677" s="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/>
      <c r="B678" s="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/>
      <c r="B679" s="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/>
      <c r="B680" s="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/>
      <c r="B681" s="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/>
      <c r="B682" s="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/>
      <c r="B683" s="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/>
      <c r="B684" s="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/>
      <c r="B685" s="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/>
      <c r="B686" s="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/>
      <c r="B687" s="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/>
      <c r="B688" s="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/>
      <c r="B689" s="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/>
      <c r="B690" s="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/>
      <c r="B691" s="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/>
      <c r="B692" s="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/>
      <c r="B693" s="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/>
      <c r="B694" s="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/>
      <c r="B695" s="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/>
      <c r="B696" s="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/>
      <c r="B697" s="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/>
      <c r="B698" s="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/>
      <c r="B699" s="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/>
      <c r="B700" s="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/>
      <c r="B701" s="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/>
      <c r="B702" s="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/>
      <c r="B703" s="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/>
      <c r="B704" s="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/>
      <c r="B705" s="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/>
      <c r="B706" s="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/>
      <c r="B707" s="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/>
      <c r="B708" s="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/>
      <c r="B709" s="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/>
      <c r="B710" s="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/>
      <c r="B711" s="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/>
      <c r="B712" s="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/>
      <c r="B713" s="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/>
      <c r="B714" s="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/>
      <c r="B715" s="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/>
      <c r="B716" s="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/>
      <c r="B717" s="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/>
      <c r="B718" s="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/>
      <c r="B719" s="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/>
      <c r="B720" s="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/>
      <c r="B721" s="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/>
      <c r="B722" s="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/>
      <c r="B723" s="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/>
      <c r="B724" s="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/>
      <c r="B725" s="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/>
      <c r="B726" s="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/>
      <c r="B727" s="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/>
      <c r="B728" s="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/>
      <c r="B729" s="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/>
      <c r="B730" s="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/>
      <c r="B731" s="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/>
      <c r="B732" s="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/>
      <c r="B733" s="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/>
      <c r="B734" s="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/>
      <c r="B735" s="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/>
      <c r="B736" s="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/>
      <c r="B737" s="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/>
      <c r="B738" s="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/>
      <c r="B739" s="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/>
      <c r="B740" s="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/>
      <c r="B741" s="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/>
      <c r="B742" s="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/>
      <c r="B743" s="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/>
      <c r="B744" s="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/>
      <c r="B745" s="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/>
      <c r="B746" s="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/>
      <c r="B747" s="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/>
      <c r="B748" s="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/>
      <c r="B749" s="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/>
      <c r="B750" s="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/>
      <c r="B751" s="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/>
      <c r="B752" s="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/>
      <c r="B753" s="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/>
      <c r="B754" s="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/>
      <c r="B755" s="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/>
      <c r="B756" s="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/>
      <c r="B757" s="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/>
      <c r="B758" s="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/>
      <c r="B759" s="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/>
      <c r="B760" s="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/>
      <c r="B761" s="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/>
      <c r="B762" s="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/>
      <c r="B763" s="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/>
      <c r="B764" s="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/>
      <c r="B765" s="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/>
      <c r="B766" s="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/>
      <c r="B767" s="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/>
      <c r="B768" s="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/>
      <c r="B769" s="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/>
      <c r="B770" s="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/>
      <c r="B771" s="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/>
      <c r="B772" s="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/>
      <c r="B773" s="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/>
      <c r="B774" s="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/>
      <c r="B775" s="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/>
      <c r="B776" s="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/>
      <c r="B777" s="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/>
      <c r="B778" s="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/>
      <c r="B779" s="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/>
      <c r="B780" s="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/>
      <c r="B781" s="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/>
      <c r="B782" s="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/>
      <c r="B783" s="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/>
      <c r="B784" s="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/>
      <c r="B785" s="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/>
      <c r="B786" s="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/>
      <c r="B787" s="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/>
      <c r="B788" s="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/>
      <c r="B789" s="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/>
      <c r="B790" s="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/>
      <c r="B791" s="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/>
      <c r="B792" s="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/>
      <c r="B793" s="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/>
      <c r="B794" s="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/>
      <c r="B795" s="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/>
      <c r="B796" s="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/>
      <c r="B797" s="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/>
      <c r="B798" s="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/>
      <c r="B799" s="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/>
      <c r="B800" s="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/>
      <c r="B801" s="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/>
      <c r="B802" s="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/>
      <c r="B803" s="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/>
      <c r="B804" s="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/>
      <c r="B805" s="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/>
      <c r="B806" s="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/>
      <c r="B807" s="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/>
      <c r="B808" s="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/>
      <c r="B809" s="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/>
      <c r="B810" s="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/>
      <c r="B811" s="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/>
      <c r="B812" s="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/>
      <c r="B813" s="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/>
      <c r="B814" s="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/>
      <c r="B815" s="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/>
      <c r="B816" s="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/>
      <c r="B817" s="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/>
      <c r="B818" s="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/>
      <c r="B819" s="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/>
      <c r="B820" s="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/>
      <c r="B821" s="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/>
      <c r="B822" s="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/>
      <c r="B823" s="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/>
      <c r="B824" s="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/>
      <c r="B825" s="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/>
      <c r="B826" s="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/>
      <c r="B827" s="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/>
      <c r="B828" s="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/>
      <c r="B829" s="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/>
      <c r="B830" s="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/>
      <c r="B831" s="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/>
      <c r="B832" s="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/>
      <c r="B833" s="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/>
      <c r="B834" s="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/>
      <c r="B835" s="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/>
      <c r="B836" s="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/>
      <c r="B837" s="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/>
      <c r="B838" s="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/>
      <c r="B839" s="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/>
      <c r="B840" s="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/>
      <c r="B841" s="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/>
      <c r="B842" s="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/>
      <c r="B843" s="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/>
      <c r="B844" s="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/>
      <c r="B845" s="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/>
      <c r="B846" s="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/>
      <c r="B847" s="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/>
      <c r="B848" s="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/>
      <c r="B849" s="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/>
      <c r="B850" s="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/>
      <c r="B851" s="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/>
      <c r="B852" s="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/>
      <c r="B853" s="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/>
      <c r="B854" s="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/>
      <c r="B855" s="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/>
      <c r="B856" s="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/>
      <c r="B857" s="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/>
      <c r="B858" s="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/>
      <c r="B859" s="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/>
      <c r="B860" s="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/>
      <c r="B861" s="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/>
      <c r="B862" s="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/>
      <c r="B863" s="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/>
      <c r="B864" s="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/>
      <c r="B865" s="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/>
      <c r="B866" s="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/>
      <c r="B867" s="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/>
      <c r="B868" s="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/>
      <c r="B869" s="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/>
      <c r="B870" s="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/>
      <c r="B871" s="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/>
      <c r="B872" s="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/>
      <c r="B873" s="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/>
      <c r="B874" s="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/>
      <c r="B875" s="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/>
      <c r="B876" s="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/>
      <c r="B877" s="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/>
      <c r="B878" s="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/>
      <c r="B879" s="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/>
      <c r="B880" s="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/>
      <c r="B881" s="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/>
      <c r="B882" s="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/>
      <c r="B883" s="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/>
      <c r="B884" s="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/>
      <c r="B885" s="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/>
      <c r="B886" s="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/>
      <c r="B887" s="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/>
      <c r="B888" s="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/>
      <c r="B889" s="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/>
      <c r="B890" s="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/>
      <c r="B891" s="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"/>
      <c r="B892" s="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/>
      <c r="B893" s="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/>
      <c r="B894" s="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/>
      <c r="B895" s="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/>
      <c r="B896" s="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/>
      <c r="B897" s="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/>
      <c r="B898" s="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/>
      <c r="B899" s="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/>
      <c r="B900" s="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/>
      <c r="B901" s="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/>
      <c r="B902" s="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/>
      <c r="B903" s="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/>
      <c r="B904" s="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/>
      <c r="B905" s="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/>
      <c r="B906" s="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/>
      <c r="B907" s="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/>
      <c r="B908" s="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/>
      <c r="B909" s="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/>
      <c r="B910" s="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/>
      <c r="B911" s="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/>
      <c r="B912" s="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"/>
      <c r="B913" s="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/>
      <c r="B914" s="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/>
      <c r="B915" s="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/>
      <c r="B916" s="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/>
      <c r="B917" s="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/>
      <c r="B918" s="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/>
      <c r="B919" s="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/>
      <c r="B920" s="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/>
      <c r="B921" s="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"/>
      <c r="B922" s="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/>
      <c r="B923" s="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/>
      <c r="B924" s="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/>
      <c r="B925" s="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"/>
      <c r="B926" s="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/>
      <c r="B927" s="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/>
      <c r="B928" s="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/>
      <c r="B929" s="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/>
      <c r="B930" s="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/>
      <c r="B931" s="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/>
      <c r="B932" s="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/>
      <c r="B933" s="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/>
      <c r="B934" s="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/>
      <c r="B935" s="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/>
      <c r="B936" s="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/>
      <c r="B937" s="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/>
      <c r="B938" s="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/>
      <c r="B939" s="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/>
      <c r="B940" s="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/>
      <c r="B941" s="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/>
      <c r="B942" s="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/>
      <c r="B943" s="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/>
      <c r="B944" s="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/>
      <c r="B945" s="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/>
      <c r="B946" s="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/>
      <c r="B947" s="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"/>
      <c r="B948" s="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"/>
      <c r="B949" s="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"/>
      <c r="B950" s="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"/>
      <c r="B951" s="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"/>
      <c r="B952" s="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"/>
      <c r="B953" s="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/>
      <c r="B954" s="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"/>
      <c r="B955" s="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/>
      <c r="B956" s="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/>
      <c r="B957" s="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/>
      <c r="B958" s="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/>
      <c r="B959" s="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/>
      <c r="B960" s="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/>
      <c r="B961" s="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"/>
      <c r="B962" s="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"/>
      <c r="B963" s="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"/>
      <c r="B964" s="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/>
      <c r="B965" s="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/>
      <c r="B966" s="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/>
      <c r="B967" s="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/>
      <c r="B968" s="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"/>
      <c r="B969" s="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/>
      <c r="B970" s="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"/>
      <c r="B971" s="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"/>
      <c r="B972" s="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"/>
      <c r="B973" s="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/>
      <c r="B974" s="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"/>
      <c r="B975" s="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"/>
      <c r="B976" s="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/>
      <c r="B977" s="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/>
      <c r="B978" s="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"/>
      <c r="B979" s="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"/>
      <c r="B980" s="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"/>
      <c r="B981" s="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"/>
      <c r="B982" s="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/>
      <c r="B983" s="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"/>
      <c r="B984" s="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"/>
      <c r="B985" s="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/>
      <c r="B986" s="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"/>
      <c r="B987" s="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"/>
      <c r="B988" s="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"/>
      <c r="B989" s="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"/>
      <c r="B990" s="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"/>
      <c r="B991" s="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"/>
      <c r="B992" s="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"/>
      <c r="B993" s="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"/>
      <c r="B994" s="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/>
      <c r="B995" s="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"/>
      <c r="B996" s="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"/>
      <c r="B997" s="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/>
      <c r="B998" s="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/>
      <c r="B999" s="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"/>
      <c r="B1000" s="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5"/>
      <c r="B1001" s="4"/>
      <c r="C1001" s="1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/>
      <c r="B1002" s="4"/>
      <c r="C1002" s="1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5"/>
      <c r="B1003" s="4"/>
      <c r="C1003" s="1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5"/>
      <c r="B1004" s="4"/>
      <c r="C1004" s="1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5"/>
      <c r="B1005" s="4"/>
      <c r="C1005" s="1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5"/>
      <c r="B1006" s="4"/>
      <c r="C1006" s="1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5"/>
      <c r="B1007" s="4"/>
      <c r="C1007" s="1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5"/>
      <c r="B1008" s="4"/>
      <c r="C1008" s="1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5"/>
      <c r="B1009" s="4"/>
      <c r="C1009" s="1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5"/>
      <c r="B1010" s="4"/>
      <c r="C1010" s="1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5"/>
      <c r="B1011" s="4"/>
      <c r="C1011" s="1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5"/>
      <c r="B1012" s="4"/>
      <c r="C1012" s="1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5"/>
      <c r="B1013" s="4"/>
      <c r="C1013" s="1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5"/>
      <c r="B1014" s="4"/>
      <c r="C1014" s="1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5"/>
      <c r="B1015" s="4"/>
      <c r="C1015" s="1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5"/>
      <c r="B1016" s="4"/>
      <c r="C1016" s="1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5"/>
      <c r="B1017" s="4"/>
      <c r="C1017" s="1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5"/>
      <c r="B1018" s="4"/>
      <c r="C1018" s="1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5"/>
      <c r="B1019" s="4"/>
      <c r="C1019" s="1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5"/>
      <c r="B1020" s="4"/>
      <c r="C1020" s="1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5"/>
      <c r="B1021" s="4"/>
      <c r="C1021" s="1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5"/>
      <c r="B1022" s="4"/>
      <c r="C1022" s="1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5"/>
      <c r="B1023" s="4"/>
      <c r="C1023" s="1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5"/>
      <c r="B1024" s="4"/>
      <c r="C1024" s="1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5"/>
      <c r="B1025" s="4"/>
      <c r="C1025" s="1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/>
      <c r="B1026" s="4"/>
      <c r="C1026" s="1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5"/>
      <c r="B1027" s="4"/>
      <c r="C1027" s="1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5"/>
      <c r="B1028" s="4"/>
      <c r="C1028" s="1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/>
      <c r="B1029" s="4"/>
      <c r="C1029" s="1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5"/>
      <c r="B1030" s="4"/>
      <c r="C1030" s="1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5"/>
      <c r="B1031" s="4"/>
      <c r="C1031" s="1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5"/>
      <c r="B1032" s="4"/>
      <c r="C1032" s="1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5"/>
      <c r="B1033" s="4"/>
      <c r="C1033" s="1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5"/>
      <c r="B1034" s="4"/>
      <c r="C1034" s="1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5"/>
      <c r="B1035" s="4"/>
      <c r="C1035" s="1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5"/>
      <c r="B1036" s="4"/>
      <c r="C1036" s="1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5"/>
      <c r="B1037" s="4"/>
      <c r="C1037" s="1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5"/>
      <c r="B1038" s="4"/>
      <c r="C1038" s="1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5"/>
      <c r="B1039" s="4"/>
      <c r="C1039" s="1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5"/>
      <c r="B1040" s="4"/>
      <c r="C1040" s="1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5"/>
      <c r="B1041" s="4"/>
      <c r="C1041" s="1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5"/>
      <c r="B1042" s="4"/>
      <c r="C1042" s="1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5"/>
      <c r="B1043" s="4"/>
      <c r="C1043" s="1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5"/>
      <c r="B1044" s="4"/>
      <c r="C1044" s="1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5"/>
      <c r="B1045" s="4"/>
      <c r="C1045" s="1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5"/>
      <c r="B1046" s="4"/>
      <c r="C1046" s="1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5"/>
      <c r="B1047" s="4"/>
      <c r="C1047" s="1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5"/>
      <c r="B1048" s="4"/>
      <c r="C1048" s="1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5"/>
      <c r="B1049" s="4"/>
      <c r="C1049" s="1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/>
      <c r="B1050" s="4"/>
      <c r="C1050" s="1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5"/>
      <c r="B1051" s="4"/>
      <c r="C1051" s="1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5"/>
      <c r="B1052" s="4"/>
      <c r="C1052" s="1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5"/>
      <c r="B1053" s="4"/>
      <c r="C1053" s="1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5"/>
      <c r="B1054" s="4"/>
      <c r="C1054" s="1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/>
      <c r="B1055" s="4"/>
      <c r="C1055" s="1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5"/>
      <c r="B1056" s="4"/>
      <c r="C1056" s="1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/>
      <c r="B1057" s="4"/>
      <c r="C1057" s="1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5"/>
      <c r="B1058" s="4"/>
      <c r="C1058" s="1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5"/>
      <c r="B1059" s="4"/>
      <c r="C1059" s="1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/>
      <c r="B1060" s="4"/>
      <c r="C1060" s="1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5"/>
      <c r="B1061" s="4"/>
      <c r="C1061" s="1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/>
      <c r="B1062" s="4"/>
      <c r="C1062" s="1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5"/>
      <c r="B1063" s="4"/>
      <c r="C1063" s="1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5"/>
      <c r="B1064" s="4"/>
      <c r="C1064" s="1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/>
      <c r="B1065" s="4"/>
      <c r="C1065" s="1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</cols>
  <sheetData>
    <row r="1">
      <c r="A1" s="15" t="s">
        <v>0</v>
      </c>
      <c r="B1" s="16" t="s">
        <v>373</v>
      </c>
      <c r="C1" s="17" t="s">
        <v>374</v>
      </c>
      <c r="D1" s="18" t="s">
        <v>1</v>
      </c>
      <c r="E1" s="19" t="s">
        <v>375</v>
      </c>
    </row>
    <row r="2">
      <c r="A2" s="20" t="s">
        <v>3</v>
      </c>
      <c r="B2" s="21">
        <v>24.0</v>
      </c>
      <c r="C2" s="22" t="s">
        <v>376</v>
      </c>
      <c r="D2" s="22" t="s">
        <v>4</v>
      </c>
      <c r="E2" s="23">
        <v>98901.0</v>
      </c>
    </row>
    <row r="3">
      <c r="A3" s="20" t="s">
        <v>5</v>
      </c>
      <c r="B3" s="21">
        <v>2.0</v>
      </c>
      <c r="C3" s="22" t="s">
        <v>376</v>
      </c>
      <c r="D3" s="22" t="s">
        <v>6</v>
      </c>
      <c r="E3" s="23">
        <v>44289.0</v>
      </c>
    </row>
    <row r="4">
      <c r="A4" s="20" t="s">
        <v>7</v>
      </c>
      <c r="B4" s="21">
        <v>1.0</v>
      </c>
      <c r="C4" s="22" t="s">
        <v>376</v>
      </c>
      <c r="D4" s="22" t="s">
        <v>8</v>
      </c>
      <c r="E4" s="23">
        <f t="shared" ref="E4:E12" si="1">208125/25</f>
        <v>8325</v>
      </c>
    </row>
    <row r="5">
      <c r="A5" s="20" t="s">
        <v>9</v>
      </c>
      <c r="B5" s="21">
        <v>1.0</v>
      </c>
      <c r="C5" s="22" t="s">
        <v>376</v>
      </c>
      <c r="D5" s="22" t="s">
        <v>10</v>
      </c>
      <c r="E5" s="23">
        <f t="shared" si="1"/>
        <v>8325</v>
      </c>
    </row>
    <row r="6">
      <c r="A6" s="20" t="s">
        <v>11</v>
      </c>
      <c r="B6" s="21">
        <v>1.0</v>
      </c>
      <c r="C6" s="22" t="s">
        <v>376</v>
      </c>
      <c r="D6" s="22" t="s">
        <v>12</v>
      </c>
      <c r="E6" s="23">
        <f t="shared" si="1"/>
        <v>8325</v>
      </c>
    </row>
    <row r="7">
      <c r="A7" s="20" t="s">
        <v>13</v>
      </c>
      <c r="B7" s="21">
        <v>1.0</v>
      </c>
      <c r="C7" s="22" t="s">
        <v>376</v>
      </c>
      <c r="D7" s="22" t="s">
        <v>14</v>
      </c>
      <c r="E7" s="23">
        <f t="shared" si="1"/>
        <v>8325</v>
      </c>
    </row>
    <row r="8">
      <c r="A8" s="20" t="s">
        <v>15</v>
      </c>
      <c r="B8" s="21">
        <v>1.0</v>
      </c>
      <c r="C8" s="22" t="s">
        <v>376</v>
      </c>
      <c r="D8" s="22" t="s">
        <v>16</v>
      </c>
      <c r="E8" s="23">
        <f t="shared" si="1"/>
        <v>8325</v>
      </c>
    </row>
    <row r="9">
      <c r="A9" s="20" t="s">
        <v>17</v>
      </c>
      <c r="B9" s="21">
        <v>1.0</v>
      </c>
      <c r="C9" s="22" t="s">
        <v>376</v>
      </c>
      <c r="D9" s="22" t="s">
        <v>18</v>
      </c>
      <c r="E9" s="23">
        <f t="shared" si="1"/>
        <v>8325</v>
      </c>
    </row>
    <row r="10">
      <c r="A10" s="20" t="s">
        <v>19</v>
      </c>
      <c r="B10" s="21">
        <v>1.0</v>
      </c>
      <c r="C10" s="22" t="s">
        <v>376</v>
      </c>
      <c r="D10" s="22" t="s">
        <v>20</v>
      </c>
      <c r="E10" s="23">
        <f t="shared" si="1"/>
        <v>8325</v>
      </c>
    </row>
    <row r="11">
      <c r="A11" s="24" t="s">
        <v>21</v>
      </c>
      <c r="B11" s="21">
        <v>2.0</v>
      </c>
      <c r="C11" s="22" t="s">
        <v>376</v>
      </c>
      <c r="D11" s="22" t="s">
        <v>22</v>
      </c>
      <c r="E11" s="23">
        <f t="shared" si="1"/>
        <v>8325</v>
      </c>
    </row>
    <row r="12">
      <c r="A12" s="24" t="s">
        <v>23</v>
      </c>
      <c r="B12" s="21">
        <v>2.0</v>
      </c>
      <c r="C12" s="22" t="s">
        <v>376</v>
      </c>
      <c r="D12" s="22" t="s">
        <v>24</v>
      </c>
      <c r="E12" s="23">
        <f t="shared" si="1"/>
        <v>8325</v>
      </c>
    </row>
    <row r="13">
      <c r="A13" s="24" t="s">
        <v>25</v>
      </c>
      <c r="B13" s="21">
        <v>100.0</v>
      </c>
      <c r="C13" s="22" t="s">
        <v>376</v>
      </c>
      <c r="D13" s="22" t="s">
        <v>26</v>
      </c>
      <c r="E13" s="23">
        <v>210345.0</v>
      </c>
    </row>
    <row r="14">
      <c r="A14" s="24" t="s">
        <v>27</v>
      </c>
      <c r="B14" s="21">
        <v>48.0</v>
      </c>
      <c r="C14" s="22" t="s">
        <v>376</v>
      </c>
      <c r="D14" s="22" t="s">
        <v>28</v>
      </c>
      <c r="E14" s="23">
        <f>24420/12</f>
        <v>2035</v>
      </c>
    </row>
    <row r="15">
      <c r="A15" s="24" t="s">
        <v>29</v>
      </c>
      <c r="B15" s="21">
        <v>48.0</v>
      </c>
      <c r="C15" s="22" t="s">
        <v>376</v>
      </c>
      <c r="D15" s="22" t="s">
        <v>30</v>
      </c>
      <c r="E15" s="23">
        <f>11178/12</f>
        <v>931.5</v>
      </c>
    </row>
    <row r="16">
      <c r="A16" s="25" t="s">
        <v>31</v>
      </c>
      <c r="B16" s="21">
        <v>10.0</v>
      </c>
      <c r="C16" s="22" t="s">
        <v>376</v>
      </c>
      <c r="D16" s="22" t="s">
        <v>32</v>
      </c>
      <c r="E16" s="23">
        <v>4000.0</v>
      </c>
    </row>
    <row r="17">
      <c r="A17" s="25" t="s">
        <v>33</v>
      </c>
      <c r="B17" s="21">
        <v>5.0</v>
      </c>
      <c r="C17" s="22" t="s">
        <v>376</v>
      </c>
      <c r="D17" s="22" t="s">
        <v>34</v>
      </c>
      <c r="E17" s="23">
        <v>6000.0</v>
      </c>
    </row>
    <row r="18">
      <c r="A18" s="25" t="s">
        <v>35</v>
      </c>
      <c r="B18" s="21">
        <v>5.0</v>
      </c>
      <c r="C18" s="22" t="s">
        <v>376</v>
      </c>
      <c r="D18" s="22" t="s">
        <v>36</v>
      </c>
      <c r="E18" s="23">
        <v>7770.0</v>
      </c>
    </row>
    <row r="19">
      <c r="A19" s="25" t="s">
        <v>37</v>
      </c>
      <c r="B19" s="21">
        <v>5.0</v>
      </c>
      <c r="C19" s="22" t="s">
        <v>376</v>
      </c>
      <c r="D19" s="22" t="s">
        <v>38</v>
      </c>
      <c r="E19" s="23">
        <v>25530.0</v>
      </c>
    </row>
    <row r="20">
      <c r="A20" s="26" t="s">
        <v>39</v>
      </c>
      <c r="B20" s="21">
        <v>5.0</v>
      </c>
      <c r="C20" s="22" t="s">
        <v>376</v>
      </c>
      <c r="D20" s="22" t="s">
        <v>40</v>
      </c>
      <c r="E20" s="23">
        <f>19000/100</f>
        <v>190</v>
      </c>
    </row>
    <row r="21">
      <c r="A21" s="26" t="s">
        <v>41</v>
      </c>
      <c r="B21" s="21">
        <v>2.0</v>
      </c>
      <c r="C21" s="22" t="s">
        <v>376</v>
      </c>
      <c r="D21" s="22" t="s">
        <v>42</v>
      </c>
      <c r="E21" s="23">
        <f>56000/100</f>
        <v>560</v>
      </c>
    </row>
    <row r="22">
      <c r="A22" s="26" t="s">
        <v>43</v>
      </c>
      <c r="B22" s="21">
        <v>2.0</v>
      </c>
      <c r="C22" s="22" t="s">
        <v>376</v>
      </c>
      <c r="D22" s="22" t="s">
        <v>44</v>
      </c>
      <c r="E22" s="23">
        <f>32500/100</f>
        <v>325</v>
      </c>
    </row>
    <row r="23">
      <c r="A23" s="26" t="s">
        <v>45</v>
      </c>
      <c r="B23" s="21">
        <v>2.0</v>
      </c>
      <c r="C23" s="22" t="s">
        <v>376</v>
      </c>
      <c r="D23" s="22" t="s">
        <v>46</v>
      </c>
      <c r="E23" s="23">
        <f>124875/100</f>
        <v>1248.75</v>
      </c>
    </row>
    <row r="24">
      <c r="A24" s="26" t="s">
        <v>47</v>
      </c>
      <c r="B24" s="21">
        <v>50.0</v>
      </c>
      <c r="C24" s="22" t="s">
        <v>376</v>
      </c>
      <c r="D24" s="22" t="s">
        <v>48</v>
      </c>
      <c r="E24" s="23">
        <f>42500/12</f>
        <v>3541.666667</v>
      </c>
    </row>
    <row r="25">
      <c r="A25" s="25" t="s">
        <v>49</v>
      </c>
      <c r="B25" s="21">
        <v>120.0</v>
      </c>
      <c r="C25" s="22" t="s">
        <v>376</v>
      </c>
      <c r="D25" s="22" t="s">
        <v>50</v>
      </c>
      <c r="E25" s="23">
        <f t="shared" ref="E25:E26" si="2">73260/12</f>
        <v>6105</v>
      </c>
    </row>
    <row r="26">
      <c r="A26" s="25" t="s">
        <v>51</v>
      </c>
      <c r="B26" s="21">
        <v>48.0</v>
      </c>
      <c r="C26" s="22" t="s">
        <v>376</v>
      </c>
      <c r="D26" s="22" t="s">
        <v>52</v>
      </c>
      <c r="E26" s="23">
        <f t="shared" si="2"/>
        <v>6105</v>
      </c>
    </row>
    <row r="27">
      <c r="A27" s="25" t="s">
        <v>53</v>
      </c>
      <c r="B27" s="21">
        <v>24.0</v>
      </c>
      <c r="C27" s="22" t="s">
        <v>376</v>
      </c>
      <c r="D27" s="22" t="s">
        <v>54</v>
      </c>
      <c r="E27" s="23">
        <f t="shared" ref="E27:E30" si="3">118076/12</f>
        <v>9839.666667</v>
      </c>
    </row>
    <row r="28">
      <c r="A28" s="25" t="s">
        <v>55</v>
      </c>
      <c r="B28" s="21">
        <v>24.0</v>
      </c>
      <c r="C28" s="22" t="s">
        <v>376</v>
      </c>
      <c r="D28" s="22" t="s">
        <v>56</v>
      </c>
      <c r="E28" s="23">
        <f t="shared" si="3"/>
        <v>9839.666667</v>
      </c>
    </row>
    <row r="29">
      <c r="A29" s="25" t="s">
        <v>57</v>
      </c>
      <c r="B29" s="21">
        <v>24.0</v>
      </c>
      <c r="C29" s="22" t="s">
        <v>376</v>
      </c>
      <c r="D29" s="22" t="s">
        <v>58</v>
      </c>
      <c r="E29" s="23">
        <f t="shared" si="3"/>
        <v>9839.666667</v>
      </c>
    </row>
    <row r="30">
      <c r="A30" s="25" t="s">
        <v>59</v>
      </c>
      <c r="B30" s="21">
        <v>24.0</v>
      </c>
      <c r="C30" s="22" t="s">
        <v>376</v>
      </c>
      <c r="D30" s="22" t="s">
        <v>60</v>
      </c>
      <c r="E30" s="23">
        <f t="shared" si="3"/>
        <v>9839.666667</v>
      </c>
    </row>
    <row r="31">
      <c r="A31" s="26" t="s">
        <v>61</v>
      </c>
      <c r="B31" s="21">
        <v>80.0</v>
      </c>
      <c r="C31" s="22" t="s">
        <v>376</v>
      </c>
      <c r="D31" s="22" t="s">
        <v>62</v>
      </c>
      <c r="E31" s="23">
        <f>61050/20</f>
        <v>3052.5</v>
      </c>
    </row>
    <row r="32">
      <c r="A32" s="25" t="s">
        <v>63</v>
      </c>
      <c r="B32" s="21">
        <v>10.0</v>
      </c>
      <c r="C32" s="22" t="s">
        <v>376</v>
      </c>
      <c r="D32" s="22" t="s">
        <v>64</v>
      </c>
      <c r="E32" s="23">
        <v>1998.0</v>
      </c>
    </row>
    <row r="33">
      <c r="A33" s="25" t="s">
        <v>65</v>
      </c>
      <c r="B33" s="21">
        <v>12.0</v>
      </c>
      <c r="C33" s="22" t="s">
        <v>376</v>
      </c>
      <c r="D33" s="22" t="s">
        <v>66</v>
      </c>
      <c r="E33" s="23">
        <v>15000.0</v>
      </c>
    </row>
    <row r="34">
      <c r="A34" s="26" t="s">
        <v>67</v>
      </c>
      <c r="B34" s="21">
        <v>100.0</v>
      </c>
      <c r="C34" s="22" t="s">
        <v>376</v>
      </c>
      <c r="D34" s="22" t="s">
        <v>68</v>
      </c>
      <c r="E34" s="23">
        <v>12000.0</v>
      </c>
    </row>
    <row r="35">
      <c r="A35" s="25" t="s">
        <v>69</v>
      </c>
      <c r="B35" s="21">
        <v>10.0</v>
      </c>
      <c r="C35" s="22" t="s">
        <v>376</v>
      </c>
      <c r="D35" s="22" t="s">
        <v>70</v>
      </c>
      <c r="E35" s="23">
        <v>2463.0</v>
      </c>
    </row>
    <row r="36">
      <c r="A36" s="25" t="s">
        <v>71</v>
      </c>
      <c r="B36" s="21">
        <v>10.0</v>
      </c>
      <c r="C36" s="22" t="s">
        <v>376</v>
      </c>
      <c r="D36" s="22" t="s">
        <v>72</v>
      </c>
      <c r="E36" s="23">
        <v>27195.0</v>
      </c>
    </row>
    <row r="37">
      <c r="A37" s="26" t="s">
        <v>73</v>
      </c>
      <c r="B37" s="21">
        <v>50.0</v>
      </c>
      <c r="C37" s="22" t="s">
        <v>376</v>
      </c>
      <c r="D37" s="22" t="s">
        <v>74</v>
      </c>
      <c r="E37" s="23">
        <v>9491.0</v>
      </c>
    </row>
    <row r="38">
      <c r="A38" s="26" t="s">
        <v>75</v>
      </c>
      <c r="B38" s="21">
        <v>24.0</v>
      </c>
      <c r="C38" s="22" t="s">
        <v>376</v>
      </c>
      <c r="D38" s="22" t="s">
        <v>76</v>
      </c>
      <c r="E38" s="23">
        <v>24300.0</v>
      </c>
    </row>
    <row r="39">
      <c r="A39" s="26" t="s">
        <v>77</v>
      </c>
      <c r="B39" s="21">
        <v>24.0</v>
      </c>
      <c r="C39" s="22" t="s">
        <v>376</v>
      </c>
      <c r="D39" s="22" t="s">
        <v>78</v>
      </c>
      <c r="E39" s="23">
        <v>18870.0</v>
      </c>
    </row>
    <row r="40">
      <c r="A40" s="26" t="s">
        <v>79</v>
      </c>
      <c r="B40" s="21">
        <v>5.0</v>
      </c>
      <c r="C40" s="22" t="s">
        <v>376</v>
      </c>
      <c r="D40" s="22" t="s">
        <v>80</v>
      </c>
      <c r="E40" s="23">
        <v>27639.0</v>
      </c>
    </row>
    <row r="41">
      <c r="A41" s="26" t="s">
        <v>81</v>
      </c>
      <c r="B41" s="21">
        <v>3.0</v>
      </c>
      <c r="C41" s="22" t="s">
        <v>377</v>
      </c>
      <c r="D41" s="22" t="s">
        <v>82</v>
      </c>
      <c r="E41" s="23">
        <v>200.0</v>
      </c>
    </row>
    <row r="42">
      <c r="A42" s="27" t="s">
        <v>83</v>
      </c>
      <c r="B42" s="21">
        <v>1200.0</v>
      </c>
      <c r="C42" s="22" t="s">
        <v>377</v>
      </c>
      <c r="D42" s="22" t="s">
        <v>84</v>
      </c>
      <c r="E42" s="23">
        <f>188700/24</f>
        <v>7862.5</v>
      </c>
    </row>
    <row r="43">
      <c r="A43" s="27" t="s">
        <v>85</v>
      </c>
      <c r="B43" s="21">
        <v>480.0</v>
      </c>
      <c r="C43" s="22" t="s">
        <v>377</v>
      </c>
      <c r="D43" s="22" t="s">
        <v>86</v>
      </c>
      <c r="E43" s="23">
        <f>122100/24</f>
        <v>5087.5</v>
      </c>
    </row>
    <row r="44">
      <c r="A44" s="27" t="s">
        <v>87</v>
      </c>
      <c r="B44" s="21">
        <v>360.0</v>
      </c>
      <c r="C44" s="22" t="s">
        <v>377</v>
      </c>
      <c r="D44" s="22" t="s">
        <v>88</v>
      </c>
      <c r="E44" s="23">
        <f>67377/24</f>
        <v>2807.375</v>
      </c>
    </row>
    <row r="45">
      <c r="A45" s="25" t="s">
        <v>89</v>
      </c>
      <c r="B45" s="21">
        <v>2.0</v>
      </c>
      <c r="C45" s="22" t="s">
        <v>376</v>
      </c>
      <c r="D45" s="22" t="s">
        <v>90</v>
      </c>
      <c r="E45" s="23">
        <v>69375.0</v>
      </c>
    </row>
    <row r="46">
      <c r="A46" s="25" t="s">
        <v>91</v>
      </c>
      <c r="B46" s="21">
        <v>10.0</v>
      </c>
      <c r="C46" s="22" t="s">
        <v>376</v>
      </c>
      <c r="D46" s="22" t="s">
        <v>92</v>
      </c>
      <c r="E46" s="23">
        <v>11766.0</v>
      </c>
    </row>
    <row r="47">
      <c r="A47" s="28" t="s">
        <v>93</v>
      </c>
      <c r="B47" s="21">
        <v>12.0</v>
      </c>
      <c r="C47" s="22" t="s">
        <v>377</v>
      </c>
      <c r="D47" s="22" t="s">
        <v>94</v>
      </c>
      <c r="E47" s="23">
        <v>44678.0</v>
      </c>
    </row>
    <row r="48">
      <c r="A48" s="26" t="s">
        <v>95</v>
      </c>
      <c r="B48" s="21">
        <v>12.0</v>
      </c>
      <c r="C48" s="22" t="s">
        <v>377</v>
      </c>
      <c r="D48" s="22" t="s">
        <v>96</v>
      </c>
      <c r="E48" s="23">
        <v>35520.0</v>
      </c>
    </row>
    <row r="49">
      <c r="A49" s="28" t="s">
        <v>97</v>
      </c>
      <c r="B49" s="21">
        <v>2.0</v>
      </c>
      <c r="C49" s="22" t="s">
        <v>378</v>
      </c>
      <c r="D49" s="22" t="s">
        <v>98</v>
      </c>
      <c r="E49" s="23">
        <v>16650.0</v>
      </c>
    </row>
    <row r="50">
      <c r="A50" s="28" t="s">
        <v>99</v>
      </c>
      <c r="B50" s="21" t="s">
        <v>379</v>
      </c>
      <c r="C50" s="22" t="s">
        <v>377</v>
      </c>
      <c r="D50" s="22" t="s">
        <v>100</v>
      </c>
      <c r="E50" s="23">
        <v>22922.0</v>
      </c>
    </row>
    <row r="51">
      <c r="A51" s="28" t="s">
        <v>101</v>
      </c>
      <c r="B51" s="21">
        <v>2.0</v>
      </c>
      <c r="C51" s="22" t="s">
        <v>377</v>
      </c>
      <c r="D51" s="22" t="s">
        <v>102</v>
      </c>
      <c r="E51" s="23">
        <v>46250.0</v>
      </c>
    </row>
    <row r="52">
      <c r="A52" s="28" t="s">
        <v>103</v>
      </c>
      <c r="B52" s="21">
        <v>2.0</v>
      </c>
      <c r="C52" s="22" t="s">
        <v>378</v>
      </c>
      <c r="D52" s="22" t="s">
        <v>104</v>
      </c>
      <c r="E52" s="23">
        <v>57998.0</v>
      </c>
    </row>
    <row r="53">
      <c r="A53" s="26" t="s">
        <v>105</v>
      </c>
      <c r="B53" s="21">
        <v>10.0</v>
      </c>
      <c r="C53" s="22" t="s">
        <v>377</v>
      </c>
      <c r="D53" s="22" t="s">
        <v>106</v>
      </c>
      <c r="E53" s="23">
        <f>416250/10</f>
        <v>41625</v>
      </c>
    </row>
    <row r="54">
      <c r="A54" s="25" t="s">
        <v>107</v>
      </c>
      <c r="B54" s="21">
        <v>100.0</v>
      </c>
      <c r="C54" s="22" t="s">
        <v>377</v>
      </c>
      <c r="D54" s="22" t="s">
        <v>108</v>
      </c>
      <c r="E54" s="23">
        <v>78255.0</v>
      </c>
    </row>
    <row r="55">
      <c r="A55" s="25" t="s">
        <v>109</v>
      </c>
      <c r="B55" s="21">
        <v>100.0</v>
      </c>
      <c r="C55" s="22" t="s">
        <v>377</v>
      </c>
      <c r="D55" s="22" t="s">
        <v>110</v>
      </c>
      <c r="E55" s="23">
        <v>20535.0</v>
      </c>
    </row>
    <row r="56">
      <c r="A56" s="26" t="s">
        <v>111</v>
      </c>
      <c r="B56" s="21">
        <v>2.0</v>
      </c>
      <c r="C56" s="22" t="s">
        <v>377</v>
      </c>
      <c r="D56" s="22" t="s">
        <v>112</v>
      </c>
      <c r="E56" s="23">
        <v>20091.0</v>
      </c>
    </row>
    <row r="57">
      <c r="A57" s="20" t="s">
        <v>113</v>
      </c>
      <c r="B57" s="21">
        <v>200.0</v>
      </c>
      <c r="C57" s="22" t="s">
        <v>376</v>
      </c>
      <c r="D57" s="22" t="s">
        <v>114</v>
      </c>
      <c r="E57" s="23">
        <f>154290/100</f>
        <v>1542.9</v>
      </c>
    </row>
    <row r="58">
      <c r="A58" s="25" t="s">
        <v>115</v>
      </c>
      <c r="B58" s="21">
        <v>20.0</v>
      </c>
      <c r="C58" s="22" t="s">
        <v>376</v>
      </c>
      <c r="D58" s="22" t="s">
        <v>116</v>
      </c>
      <c r="E58" s="23">
        <v>24420.0</v>
      </c>
    </row>
    <row r="59">
      <c r="A59" s="25" t="s">
        <v>117</v>
      </c>
      <c r="B59" s="21">
        <v>20.0</v>
      </c>
      <c r="C59" s="22" t="s">
        <v>376</v>
      </c>
      <c r="D59" s="22" t="s">
        <v>118</v>
      </c>
      <c r="E59" s="23">
        <v>24420.0</v>
      </c>
    </row>
    <row r="60">
      <c r="A60" s="25" t="s">
        <v>119</v>
      </c>
      <c r="B60" s="21">
        <v>20.0</v>
      </c>
      <c r="C60" s="22" t="s">
        <v>376</v>
      </c>
      <c r="D60" s="22" t="s">
        <v>120</v>
      </c>
      <c r="E60" s="23">
        <v>24420.0</v>
      </c>
    </row>
    <row r="61">
      <c r="A61" s="25" t="s">
        <v>121</v>
      </c>
      <c r="B61" s="21">
        <v>20.0</v>
      </c>
      <c r="C61" s="22" t="s">
        <v>376</v>
      </c>
      <c r="D61" s="22" t="s">
        <v>122</v>
      </c>
      <c r="E61" s="23">
        <v>24420.0</v>
      </c>
    </row>
    <row r="62">
      <c r="A62" s="25" t="s">
        <v>123</v>
      </c>
      <c r="B62" s="21">
        <v>10.0</v>
      </c>
      <c r="C62" s="22" t="s">
        <v>376</v>
      </c>
      <c r="D62" s="22" t="s">
        <v>124</v>
      </c>
      <c r="E62" s="23">
        <v>10000.0</v>
      </c>
    </row>
    <row r="63">
      <c r="A63" s="25" t="s">
        <v>125</v>
      </c>
      <c r="B63" s="21">
        <v>5.0</v>
      </c>
      <c r="C63" s="22" t="s">
        <v>376</v>
      </c>
      <c r="D63" s="22" t="s">
        <v>126</v>
      </c>
      <c r="E63" s="23">
        <v>30000.0</v>
      </c>
    </row>
    <row r="64">
      <c r="A64" s="25" t="s">
        <v>127</v>
      </c>
      <c r="B64" s="21">
        <v>50.0</v>
      </c>
      <c r="C64" s="22" t="s">
        <v>377</v>
      </c>
      <c r="D64" s="22" t="s">
        <v>128</v>
      </c>
      <c r="E64" s="23">
        <v>92019.0</v>
      </c>
    </row>
    <row r="65">
      <c r="A65" s="25" t="s">
        <v>129</v>
      </c>
      <c r="B65" s="21">
        <v>5.0</v>
      </c>
      <c r="C65" s="22" t="s">
        <v>377</v>
      </c>
      <c r="D65" s="22" t="s">
        <v>130</v>
      </c>
      <c r="E65" s="23">
        <f>347430/3</f>
        <v>115810</v>
      </c>
    </row>
    <row r="66">
      <c r="A66" s="29" t="s">
        <v>131</v>
      </c>
      <c r="B66" s="21">
        <v>5.0</v>
      </c>
      <c r="C66" s="22" t="s">
        <v>377</v>
      </c>
      <c r="D66" s="22" t="s">
        <v>132</v>
      </c>
      <c r="E66" s="23">
        <v>97680.0</v>
      </c>
    </row>
    <row r="67">
      <c r="A67" s="29" t="s">
        <v>133</v>
      </c>
      <c r="B67" s="21">
        <v>5.0</v>
      </c>
      <c r="C67" s="22" t="s">
        <v>377</v>
      </c>
      <c r="D67" s="22" t="s">
        <v>134</v>
      </c>
      <c r="E67" s="23">
        <v>97680.0</v>
      </c>
    </row>
    <row r="68">
      <c r="A68" s="29" t="s">
        <v>135</v>
      </c>
      <c r="B68" s="21">
        <v>5.0</v>
      </c>
      <c r="C68" s="22" t="s">
        <v>377</v>
      </c>
      <c r="D68" s="22" t="s">
        <v>136</v>
      </c>
      <c r="E68" s="23">
        <v>97680.0</v>
      </c>
    </row>
    <row r="69">
      <c r="A69" s="29" t="s">
        <v>137</v>
      </c>
      <c r="B69" s="21">
        <v>5.0</v>
      </c>
      <c r="C69" s="22" t="s">
        <v>377</v>
      </c>
      <c r="D69" s="22" t="s">
        <v>138</v>
      </c>
      <c r="E69" s="30">
        <v>105450.0</v>
      </c>
    </row>
    <row r="70">
      <c r="A70" s="29" t="s">
        <v>139</v>
      </c>
      <c r="B70" s="21">
        <v>5.0</v>
      </c>
      <c r="C70" s="22" t="s">
        <v>377</v>
      </c>
      <c r="D70" s="22" t="s">
        <v>140</v>
      </c>
      <c r="E70" s="23">
        <v>58053.0</v>
      </c>
    </row>
    <row r="71">
      <c r="A71" s="29" t="s">
        <v>141</v>
      </c>
      <c r="B71" s="21">
        <v>3.0</v>
      </c>
      <c r="C71" s="22" t="s">
        <v>376</v>
      </c>
      <c r="D71" s="22" t="s">
        <v>142</v>
      </c>
      <c r="E71" s="23">
        <v>8991.0</v>
      </c>
    </row>
    <row r="72">
      <c r="A72" s="29" t="s">
        <v>143</v>
      </c>
      <c r="B72" s="21">
        <v>12.0</v>
      </c>
      <c r="C72" s="22" t="s">
        <v>376</v>
      </c>
      <c r="D72" s="22" t="s">
        <v>144</v>
      </c>
      <c r="E72" s="23">
        <v>14985.0</v>
      </c>
    </row>
    <row r="73">
      <c r="A73" s="26" t="s">
        <v>145</v>
      </c>
      <c r="B73" s="21">
        <v>12.0</v>
      </c>
      <c r="C73" s="22" t="s">
        <v>376</v>
      </c>
      <c r="D73" s="22" t="s">
        <v>146</v>
      </c>
      <c r="E73" s="23">
        <v>11100.0</v>
      </c>
    </row>
    <row r="74">
      <c r="A74" s="20" t="s">
        <v>147</v>
      </c>
      <c r="B74" s="21">
        <v>12.0</v>
      </c>
      <c r="C74" s="22" t="s">
        <v>376</v>
      </c>
      <c r="D74" s="22" t="s">
        <v>148</v>
      </c>
      <c r="E74" s="23">
        <v>18537.0</v>
      </c>
    </row>
    <row r="75">
      <c r="A75" s="26" t="s">
        <v>149</v>
      </c>
      <c r="B75" s="21">
        <v>10.0</v>
      </c>
      <c r="C75" s="22" t="s">
        <v>376</v>
      </c>
      <c r="D75" s="22" t="s">
        <v>150</v>
      </c>
      <c r="E75" s="23">
        <v>15818.0</v>
      </c>
    </row>
    <row r="76">
      <c r="A76" s="26" t="s">
        <v>151</v>
      </c>
      <c r="B76" s="21">
        <v>120.0</v>
      </c>
      <c r="C76" s="22" t="s">
        <v>376</v>
      </c>
      <c r="D76" s="22" t="s">
        <v>152</v>
      </c>
      <c r="E76" s="23">
        <v>13287.0</v>
      </c>
    </row>
    <row r="77">
      <c r="A77" s="20" t="s">
        <v>153</v>
      </c>
      <c r="B77" s="21">
        <v>12.0</v>
      </c>
      <c r="C77" s="22" t="s">
        <v>376</v>
      </c>
      <c r="D77" s="22" t="s">
        <v>154</v>
      </c>
      <c r="E77" s="23">
        <v>15818.0</v>
      </c>
    </row>
    <row r="78">
      <c r="A78" s="20" t="s">
        <v>155</v>
      </c>
      <c r="B78" s="21">
        <v>10.0</v>
      </c>
      <c r="C78" s="22" t="s">
        <v>376</v>
      </c>
      <c r="D78" s="22" t="s">
        <v>156</v>
      </c>
      <c r="E78" s="23">
        <v>10767.0</v>
      </c>
    </row>
    <row r="79">
      <c r="A79" s="26" t="s">
        <v>157</v>
      </c>
      <c r="B79" s="21">
        <v>12.0</v>
      </c>
      <c r="C79" s="22" t="s">
        <v>376</v>
      </c>
      <c r="D79" s="22" t="s">
        <v>158</v>
      </c>
      <c r="E79" s="23">
        <v>7881.0</v>
      </c>
    </row>
    <row r="80">
      <c r="A80" s="26" t="s">
        <v>159</v>
      </c>
      <c r="B80" s="21">
        <v>10.0</v>
      </c>
      <c r="C80" s="22" t="s">
        <v>377</v>
      </c>
      <c r="D80" s="22" t="s">
        <v>160</v>
      </c>
      <c r="E80" s="23">
        <v>28700.0</v>
      </c>
    </row>
    <row r="81">
      <c r="A81" s="26" t="s">
        <v>161</v>
      </c>
      <c r="B81" s="21">
        <v>10.0</v>
      </c>
      <c r="C81" s="22" t="s">
        <v>377</v>
      </c>
      <c r="D81" s="22" t="s">
        <v>162</v>
      </c>
      <c r="E81" s="23">
        <v>276950.0</v>
      </c>
    </row>
    <row r="82">
      <c r="A82" s="26" t="s">
        <v>163</v>
      </c>
      <c r="B82" s="21">
        <v>10.0</v>
      </c>
      <c r="C82" s="22" t="s">
        <v>377</v>
      </c>
      <c r="D82" s="22" t="s">
        <v>164</v>
      </c>
      <c r="E82" s="23">
        <v>64000.0</v>
      </c>
    </row>
    <row r="83">
      <c r="A83" s="26" t="s">
        <v>165</v>
      </c>
      <c r="B83" s="21">
        <v>10.0</v>
      </c>
      <c r="C83" s="22" t="s">
        <v>377</v>
      </c>
      <c r="D83" s="22" t="s">
        <v>166</v>
      </c>
      <c r="E83" s="23">
        <v>69600.0</v>
      </c>
    </row>
    <row r="84">
      <c r="A84" s="26" t="s">
        <v>167</v>
      </c>
      <c r="B84" s="21">
        <v>10.0</v>
      </c>
      <c r="C84" s="22" t="s">
        <v>377</v>
      </c>
      <c r="D84" s="22" t="s">
        <v>168</v>
      </c>
      <c r="E84" s="23">
        <v>49728.0</v>
      </c>
    </row>
    <row r="85">
      <c r="A85" s="25" t="s">
        <v>169</v>
      </c>
      <c r="B85" s="21">
        <v>10.0</v>
      </c>
      <c r="C85" s="22" t="s">
        <v>377</v>
      </c>
      <c r="D85" s="22" t="s">
        <v>170</v>
      </c>
      <c r="E85" s="23">
        <v>31635.0</v>
      </c>
    </row>
    <row r="86">
      <c r="A86" s="25" t="s">
        <v>171</v>
      </c>
      <c r="B86" s="21">
        <v>5.0</v>
      </c>
      <c r="C86" s="22" t="s">
        <v>377</v>
      </c>
      <c r="D86" s="22" t="s">
        <v>172</v>
      </c>
      <c r="E86" s="23">
        <v>10500.0</v>
      </c>
    </row>
    <row r="87">
      <c r="A87" s="25" t="s">
        <v>173</v>
      </c>
      <c r="B87" s="21">
        <v>5.0</v>
      </c>
      <c r="C87" s="22" t="s">
        <v>377</v>
      </c>
      <c r="D87" s="22" t="s">
        <v>174</v>
      </c>
      <c r="E87" s="23">
        <v>6105.0</v>
      </c>
    </row>
    <row r="88">
      <c r="A88" s="25" t="s">
        <v>175</v>
      </c>
      <c r="B88" s="21">
        <v>4.0</v>
      </c>
      <c r="C88" s="22" t="s">
        <v>377</v>
      </c>
      <c r="D88" s="22" t="s">
        <v>176</v>
      </c>
      <c r="E88" s="23">
        <v>111000.0</v>
      </c>
    </row>
    <row r="89">
      <c r="A89" s="25" t="s">
        <v>177</v>
      </c>
      <c r="B89" s="21">
        <v>5.0</v>
      </c>
      <c r="C89" s="22" t="s">
        <v>377</v>
      </c>
      <c r="D89" s="22" t="s">
        <v>178</v>
      </c>
      <c r="E89" s="23">
        <v>59052.0</v>
      </c>
    </row>
    <row r="90">
      <c r="A90" s="25" t="s">
        <v>179</v>
      </c>
      <c r="B90" s="21">
        <v>10.0</v>
      </c>
      <c r="C90" s="22" t="s">
        <v>377</v>
      </c>
      <c r="D90" s="22" t="s">
        <v>180</v>
      </c>
      <c r="E90" s="23">
        <v>29637.0</v>
      </c>
    </row>
    <row r="91">
      <c r="A91" s="25" t="s">
        <v>181</v>
      </c>
      <c r="B91" s="21">
        <v>30.0</v>
      </c>
      <c r="C91" s="22" t="s">
        <v>377</v>
      </c>
      <c r="D91" s="22" t="s">
        <v>182</v>
      </c>
      <c r="E91" s="23">
        <v>4995.0</v>
      </c>
    </row>
    <row r="92">
      <c r="A92" s="26" t="s">
        <v>183</v>
      </c>
      <c r="B92" s="21">
        <v>5.0</v>
      </c>
      <c r="C92" s="22" t="s">
        <v>377</v>
      </c>
      <c r="D92" s="22" t="s">
        <v>184</v>
      </c>
      <c r="E92" s="23">
        <v>12377.0</v>
      </c>
    </row>
    <row r="93">
      <c r="A93" s="26" t="s">
        <v>185</v>
      </c>
      <c r="B93" s="21">
        <v>10.0</v>
      </c>
      <c r="C93" s="22" t="s">
        <v>376</v>
      </c>
      <c r="D93" s="22" t="s">
        <v>186</v>
      </c>
      <c r="E93" s="23">
        <v>26550.0</v>
      </c>
    </row>
    <row r="94">
      <c r="A94" s="26" t="s">
        <v>187</v>
      </c>
      <c r="B94" s="21">
        <v>3.0</v>
      </c>
      <c r="C94" s="22" t="s">
        <v>376</v>
      </c>
      <c r="D94" s="22" t="s">
        <v>188</v>
      </c>
      <c r="E94" s="23">
        <v>2500.0</v>
      </c>
    </row>
    <row r="95">
      <c r="A95" s="26" t="s">
        <v>189</v>
      </c>
      <c r="B95" s="21">
        <v>10.0</v>
      </c>
      <c r="C95" s="22" t="s">
        <v>376</v>
      </c>
      <c r="D95" s="22" t="s">
        <v>190</v>
      </c>
      <c r="E95" s="23">
        <v>33000.0</v>
      </c>
    </row>
    <row r="96">
      <c r="A96" s="26" t="s">
        <v>191</v>
      </c>
      <c r="B96" s="21">
        <v>10.0</v>
      </c>
      <c r="C96" s="22" t="s">
        <v>376</v>
      </c>
      <c r="D96" s="22" t="s">
        <v>192</v>
      </c>
      <c r="E96" s="23">
        <f>20424/12</f>
        <v>1702</v>
      </c>
    </row>
    <row r="97">
      <c r="A97" s="26" t="s">
        <v>193</v>
      </c>
      <c r="B97" s="21">
        <v>10.0</v>
      </c>
      <c r="C97" s="22" t="s">
        <v>376</v>
      </c>
      <c r="D97" s="22" t="s">
        <v>194</v>
      </c>
      <c r="E97" s="23">
        <v>31864.0</v>
      </c>
    </row>
    <row r="98">
      <c r="A98" s="26" t="s">
        <v>195</v>
      </c>
      <c r="B98" s="21">
        <v>20.0</v>
      </c>
      <c r="C98" s="22" t="s">
        <v>376</v>
      </c>
      <c r="D98" s="22" t="s">
        <v>196</v>
      </c>
      <c r="E98" s="23">
        <v>2600.0</v>
      </c>
    </row>
    <row r="99">
      <c r="A99" s="26" t="s">
        <v>197</v>
      </c>
      <c r="B99" s="21">
        <v>12.0</v>
      </c>
      <c r="C99" s="22" t="s">
        <v>376</v>
      </c>
      <c r="D99" s="22" t="s">
        <v>198</v>
      </c>
      <c r="E99" s="23">
        <f>50900/12</f>
        <v>4241.666667</v>
      </c>
    </row>
    <row r="100">
      <c r="A100" s="26" t="s">
        <v>199</v>
      </c>
      <c r="B100" s="21">
        <v>12.0</v>
      </c>
      <c r="C100" s="22" t="s">
        <v>376</v>
      </c>
      <c r="D100" s="22" t="s">
        <v>200</v>
      </c>
      <c r="E100" s="23">
        <v>25000.0</v>
      </c>
    </row>
    <row r="101">
      <c r="A101" s="26" t="s">
        <v>201</v>
      </c>
      <c r="B101" s="21">
        <v>20.0</v>
      </c>
      <c r="C101" s="22" t="s">
        <v>376</v>
      </c>
      <c r="D101" s="22" t="s">
        <v>202</v>
      </c>
      <c r="E101" s="23">
        <v>3130.0</v>
      </c>
    </row>
    <row r="102">
      <c r="A102" s="26" t="s">
        <v>203</v>
      </c>
      <c r="B102" s="21">
        <v>2.0</v>
      </c>
      <c r="C102" s="22" t="s">
        <v>377</v>
      </c>
      <c r="D102" s="22" t="s">
        <v>204</v>
      </c>
      <c r="E102" s="23">
        <v>134310.0</v>
      </c>
    </row>
    <row r="103">
      <c r="A103" s="26" t="s">
        <v>205</v>
      </c>
      <c r="B103" s="21">
        <v>2.0</v>
      </c>
      <c r="C103" s="22" t="s">
        <v>377</v>
      </c>
      <c r="D103" s="22" t="s">
        <v>206</v>
      </c>
      <c r="E103" s="23">
        <v>53280.0</v>
      </c>
    </row>
    <row r="104">
      <c r="A104" s="26" t="s">
        <v>207</v>
      </c>
      <c r="B104" s="21">
        <v>2.0</v>
      </c>
      <c r="C104" s="22" t="s">
        <v>377</v>
      </c>
      <c r="D104" s="22" t="s">
        <v>208</v>
      </c>
      <c r="E104" s="23">
        <v>53280.0</v>
      </c>
    </row>
    <row r="105">
      <c r="A105" s="26" t="s">
        <v>209</v>
      </c>
      <c r="B105" s="21">
        <v>3.0</v>
      </c>
      <c r="C105" s="22" t="s">
        <v>377</v>
      </c>
      <c r="D105" s="22" t="s">
        <v>210</v>
      </c>
      <c r="E105" s="23">
        <v>263625.0</v>
      </c>
    </row>
    <row r="106">
      <c r="A106" s="26" t="s">
        <v>211</v>
      </c>
      <c r="B106" s="21">
        <v>7.0</v>
      </c>
      <c r="C106" s="22" t="s">
        <v>377</v>
      </c>
      <c r="D106" s="22" t="s">
        <v>212</v>
      </c>
      <c r="E106" s="23">
        <v>5106.0</v>
      </c>
    </row>
    <row r="107">
      <c r="A107" s="26" t="s">
        <v>213</v>
      </c>
      <c r="B107" s="21">
        <v>7.0</v>
      </c>
      <c r="C107" s="22" t="s">
        <v>377</v>
      </c>
      <c r="D107" s="22" t="s">
        <v>214</v>
      </c>
      <c r="E107" s="23">
        <v>15485.0</v>
      </c>
    </row>
    <row r="108">
      <c r="A108" s="26" t="s">
        <v>215</v>
      </c>
      <c r="B108" s="21">
        <v>7.0</v>
      </c>
      <c r="C108" s="22" t="s">
        <v>377</v>
      </c>
      <c r="D108" s="22" t="s">
        <v>216</v>
      </c>
      <c r="E108" s="23">
        <v>14097.0</v>
      </c>
    </row>
    <row r="109">
      <c r="A109" s="26" t="s">
        <v>217</v>
      </c>
      <c r="B109" s="21">
        <v>7.0</v>
      </c>
      <c r="C109" s="22" t="s">
        <v>377</v>
      </c>
      <c r="D109" s="22" t="s">
        <v>218</v>
      </c>
      <c r="E109" s="23">
        <v>20646.0</v>
      </c>
    </row>
    <row r="110">
      <c r="A110" s="26" t="s">
        <v>219</v>
      </c>
      <c r="B110" s="21">
        <v>7.0</v>
      </c>
      <c r="C110" s="22" t="s">
        <v>377</v>
      </c>
      <c r="D110" s="22" t="s">
        <v>220</v>
      </c>
      <c r="E110" s="23">
        <v>270840.0</v>
      </c>
    </row>
    <row r="111">
      <c r="A111" s="26" t="s">
        <v>221</v>
      </c>
      <c r="B111" s="31"/>
      <c r="C111" s="22" t="s">
        <v>377</v>
      </c>
      <c r="D111" s="22" t="s">
        <v>222</v>
      </c>
      <c r="E111" s="23">
        <v>70000.0</v>
      </c>
    </row>
    <row r="112">
      <c r="A112" s="26" t="s">
        <v>223</v>
      </c>
      <c r="B112" s="21">
        <v>1.0</v>
      </c>
      <c r="C112" s="22" t="s">
        <v>377</v>
      </c>
      <c r="D112" s="22" t="s">
        <v>224</v>
      </c>
      <c r="E112" s="23">
        <v>119880.0</v>
      </c>
    </row>
    <row r="113">
      <c r="A113" s="26" t="s">
        <v>225</v>
      </c>
      <c r="B113" s="21">
        <v>7.0</v>
      </c>
      <c r="C113" s="22" t="s">
        <v>377</v>
      </c>
      <c r="D113" s="22" t="s">
        <v>226</v>
      </c>
      <c r="E113" s="23">
        <v>175000.0</v>
      </c>
    </row>
    <row r="114">
      <c r="A114" s="26" t="s">
        <v>227</v>
      </c>
      <c r="B114" s="21">
        <v>7.0</v>
      </c>
      <c r="C114" s="22" t="s">
        <v>377</v>
      </c>
      <c r="D114" s="22" t="s">
        <v>228</v>
      </c>
      <c r="E114" s="23">
        <v>75480.0</v>
      </c>
    </row>
    <row r="115">
      <c r="A115" s="26" t="s">
        <v>229</v>
      </c>
      <c r="B115" s="21">
        <v>7.0</v>
      </c>
      <c r="C115" s="22" t="s">
        <v>377</v>
      </c>
      <c r="D115" s="22" t="s">
        <v>230</v>
      </c>
      <c r="E115" s="23">
        <v>1465.0</v>
      </c>
    </row>
    <row r="116">
      <c r="A116" s="26" t="s">
        <v>231</v>
      </c>
      <c r="B116" s="21">
        <v>7.0</v>
      </c>
      <c r="C116" s="22" t="s">
        <v>377</v>
      </c>
      <c r="D116" s="22" t="s">
        <v>232</v>
      </c>
      <c r="E116" s="23">
        <v>328560.0</v>
      </c>
    </row>
    <row r="117">
      <c r="A117" s="26" t="s">
        <v>233</v>
      </c>
      <c r="B117" s="21">
        <v>7.0</v>
      </c>
      <c r="C117" s="22" t="s">
        <v>377</v>
      </c>
      <c r="D117" s="22" t="s">
        <v>234</v>
      </c>
      <c r="E117" s="23">
        <v>54945.0</v>
      </c>
    </row>
    <row r="118">
      <c r="A118" s="26" t="s">
        <v>235</v>
      </c>
      <c r="B118" s="21">
        <v>7.0</v>
      </c>
      <c r="C118" s="22" t="s">
        <v>377</v>
      </c>
      <c r="D118" s="22" t="s">
        <v>236</v>
      </c>
      <c r="E118" s="23">
        <v>245310.0</v>
      </c>
    </row>
    <row r="119">
      <c r="A119" s="26" t="s">
        <v>237</v>
      </c>
      <c r="B119" s="21">
        <v>7.0</v>
      </c>
      <c r="C119" s="22" t="s">
        <v>377</v>
      </c>
      <c r="D119" s="22" t="s">
        <v>238</v>
      </c>
      <c r="E119" s="23">
        <v>245310.0</v>
      </c>
    </row>
    <row r="120">
      <c r="A120" s="26" t="s">
        <v>239</v>
      </c>
      <c r="B120" s="21">
        <v>7.0</v>
      </c>
      <c r="C120" s="22" t="s">
        <v>377</v>
      </c>
      <c r="D120" s="22" t="s">
        <v>240</v>
      </c>
      <c r="E120" s="23">
        <v>245310.0</v>
      </c>
    </row>
    <row r="121">
      <c r="A121" s="26" t="s">
        <v>241</v>
      </c>
      <c r="B121" s="21">
        <v>0.0</v>
      </c>
      <c r="C121" s="22" t="s">
        <v>376</v>
      </c>
      <c r="D121" s="22" t="s">
        <v>242</v>
      </c>
      <c r="E121" s="23">
        <v>1236540.0</v>
      </c>
    </row>
    <row r="122">
      <c r="A122" s="26" t="s">
        <v>243</v>
      </c>
      <c r="B122" s="21">
        <v>7.0</v>
      </c>
      <c r="C122" s="22" t="s">
        <v>376</v>
      </c>
      <c r="D122" s="22" t="s">
        <v>244</v>
      </c>
      <c r="E122" s="23">
        <v>26973.0</v>
      </c>
    </row>
    <row r="123">
      <c r="A123" s="26" t="s">
        <v>245</v>
      </c>
      <c r="B123" s="21">
        <v>15.0</v>
      </c>
      <c r="C123" s="22" t="s">
        <v>376</v>
      </c>
      <c r="D123" s="22" t="s">
        <v>246</v>
      </c>
      <c r="E123" s="23">
        <v>20535.0</v>
      </c>
    </row>
    <row r="124">
      <c r="A124" s="26" t="s">
        <v>247</v>
      </c>
      <c r="B124" s="21">
        <v>15.0</v>
      </c>
      <c r="C124" s="22" t="s">
        <v>377</v>
      </c>
      <c r="D124" s="22" t="s">
        <v>248</v>
      </c>
      <c r="E124" s="32">
        <f t="shared" ref="E124:E138" si="4">102500*1.11</f>
        <v>113775</v>
      </c>
    </row>
    <row r="125">
      <c r="A125" s="26" t="s">
        <v>249</v>
      </c>
      <c r="B125" s="21">
        <v>15.0</v>
      </c>
      <c r="C125" s="22" t="s">
        <v>377</v>
      </c>
      <c r="D125" s="22" t="s">
        <v>250</v>
      </c>
      <c r="E125" s="32">
        <f t="shared" si="4"/>
        <v>113775</v>
      </c>
    </row>
    <row r="126">
      <c r="A126" s="26" t="s">
        <v>251</v>
      </c>
      <c r="B126" s="21">
        <v>15.0</v>
      </c>
      <c r="C126" s="22" t="s">
        <v>377</v>
      </c>
      <c r="D126" s="22" t="s">
        <v>252</v>
      </c>
      <c r="E126" s="32">
        <f t="shared" si="4"/>
        <v>113775</v>
      </c>
    </row>
    <row r="127">
      <c r="A127" s="26" t="s">
        <v>253</v>
      </c>
      <c r="B127" s="21">
        <v>15.0</v>
      </c>
      <c r="C127" s="22" t="s">
        <v>377</v>
      </c>
      <c r="D127" s="22" t="s">
        <v>254</v>
      </c>
      <c r="E127" s="32">
        <f t="shared" si="4"/>
        <v>113775</v>
      </c>
    </row>
    <row r="128">
      <c r="A128" s="26" t="s">
        <v>255</v>
      </c>
      <c r="B128" s="21">
        <v>15.0</v>
      </c>
      <c r="C128" s="22" t="s">
        <v>377</v>
      </c>
      <c r="D128" s="22" t="s">
        <v>256</v>
      </c>
      <c r="E128" s="32">
        <f t="shared" si="4"/>
        <v>113775</v>
      </c>
    </row>
    <row r="129">
      <c r="A129" s="26" t="s">
        <v>257</v>
      </c>
      <c r="B129" s="21">
        <v>15.0</v>
      </c>
      <c r="C129" s="22" t="s">
        <v>377</v>
      </c>
      <c r="D129" s="22" t="s">
        <v>258</v>
      </c>
      <c r="E129" s="32">
        <f t="shared" si="4"/>
        <v>113775</v>
      </c>
    </row>
    <row r="130">
      <c r="A130" s="26" t="s">
        <v>259</v>
      </c>
      <c r="B130" s="21">
        <v>15.0</v>
      </c>
      <c r="C130" s="22" t="s">
        <v>377</v>
      </c>
      <c r="D130" s="22" t="s">
        <v>260</v>
      </c>
      <c r="E130" s="32">
        <f t="shared" si="4"/>
        <v>113775</v>
      </c>
    </row>
    <row r="131">
      <c r="A131" s="26" t="s">
        <v>261</v>
      </c>
      <c r="B131" s="21">
        <v>15.0</v>
      </c>
      <c r="C131" s="22" t="s">
        <v>377</v>
      </c>
      <c r="D131" s="22" t="s">
        <v>262</v>
      </c>
      <c r="E131" s="32">
        <f t="shared" si="4"/>
        <v>113775</v>
      </c>
    </row>
    <row r="132">
      <c r="A132" s="26" t="s">
        <v>263</v>
      </c>
      <c r="B132" s="21">
        <v>15.0</v>
      </c>
      <c r="C132" s="22" t="s">
        <v>377</v>
      </c>
      <c r="D132" s="22" t="s">
        <v>264</v>
      </c>
      <c r="E132" s="32">
        <f t="shared" si="4"/>
        <v>113775</v>
      </c>
    </row>
    <row r="133">
      <c r="A133" s="26" t="s">
        <v>265</v>
      </c>
      <c r="B133" s="21">
        <v>15.0</v>
      </c>
      <c r="C133" s="22" t="s">
        <v>377</v>
      </c>
      <c r="D133" s="22" t="s">
        <v>266</v>
      </c>
      <c r="E133" s="32">
        <f t="shared" si="4"/>
        <v>113775</v>
      </c>
    </row>
    <row r="134">
      <c r="A134" s="26" t="s">
        <v>267</v>
      </c>
      <c r="B134" s="21">
        <v>15.0</v>
      </c>
      <c r="C134" s="22" t="s">
        <v>377</v>
      </c>
      <c r="D134" s="22" t="s">
        <v>268</v>
      </c>
      <c r="E134" s="32">
        <f t="shared" si="4"/>
        <v>113775</v>
      </c>
    </row>
    <row r="135">
      <c r="A135" s="26" t="s">
        <v>269</v>
      </c>
      <c r="B135" s="21">
        <v>15.0</v>
      </c>
      <c r="C135" s="22" t="s">
        <v>377</v>
      </c>
      <c r="D135" s="22" t="s">
        <v>270</v>
      </c>
      <c r="E135" s="32">
        <f t="shared" si="4"/>
        <v>113775</v>
      </c>
    </row>
    <row r="136">
      <c r="A136" s="26" t="s">
        <v>271</v>
      </c>
      <c r="B136" s="21">
        <v>15.0</v>
      </c>
      <c r="C136" s="22" t="s">
        <v>377</v>
      </c>
      <c r="D136" s="22" t="s">
        <v>272</v>
      </c>
      <c r="E136" s="32">
        <f t="shared" si="4"/>
        <v>113775</v>
      </c>
    </row>
    <row r="137">
      <c r="A137" s="26" t="s">
        <v>273</v>
      </c>
      <c r="B137" s="21">
        <v>15.0</v>
      </c>
      <c r="C137" s="22" t="s">
        <v>377</v>
      </c>
      <c r="D137" s="22" t="s">
        <v>274</v>
      </c>
      <c r="E137" s="32">
        <f t="shared" si="4"/>
        <v>113775</v>
      </c>
    </row>
    <row r="138">
      <c r="A138" s="26" t="s">
        <v>275</v>
      </c>
      <c r="B138" s="21">
        <v>15.0</v>
      </c>
      <c r="C138" s="22" t="s">
        <v>377</v>
      </c>
      <c r="D138" s="22" t="s">
        <v>276</v>
      </c>
      <c r="E138" s="32">
        <f t="shared" si="4"/>
        <v>113775</v>
      </c>
    </row>
    <row r="139">
      <c r="A139" s="26" t="s">
        <v>277</v>
      </c>
      <c r="B139" s="21">
        <v>15.0</v>
      </c>
      <c r="C139" s="22" t="s">
        <v>377</v>
      </c>
      <c r="D139" s="22" t="s">
        <v>278</v>
      </c>
      <c r="E139" s="32">
        <f t="shared" ref="E139:E148" si="5">88500*1.11</f>
        <v>98235</v>
      </c>
    </row>
    <row r="140">
      <c r="A140" s="26" t="s">
        <v>279</v>
      </c>
      <c r="B140" s="21">
        <v>15.0</v>
      </c>
      <c r="C140" s="22" t="s">
        <v>377</v>
      </c>
      <c r="D140" s="22" t="s">
        <v>280</v>
      </c>
      <c r="E140" s="32">
        <f t="shared" si="5"/>
        <v>98235</v>
      </c>
    </row>
    <row r="141">
      <c r="A141" s="26" t="s">
        <v>281</v>
      </c>
      <c r="B141" s="21">
        <v>15.0</v>
      </c>
      <c r="C141" s="22" t="s">
        <v>377</v>
      </c>
      <c r="D141" s="22" t="s">
        <v>282</v>
      </c>
      <c r="E141" s="32">
        <f t="shared" si="5"/>
        <v>98235</v>
      </c>
    </row>
    <row r="142">
      <c r="A142" s="26" t="s">
        <v>283</v>
      </c>
      <c r="B142" s="21">
        <v>15.0</v>
      </c>
      <c r="C142" s="22" t="s">
        <v>377</v>
      </c>
      <c r="D142" s="22" t="s">
        <v>284</v>
      </c>
      <c r="E142" s="32">
        <f t="shared" si="5"/>
        <v>98235</v>
      </c>
    </row>
    <row r="143">
      <c r="A143" s="26" t="s">
        <v>285</v>
      </c>
      <c r="B143" s="21">
        <v>15.0</v>
      </c>
      <c r="C143" s="22" t="s">
        <v>377</v>
      </c>
      <c r="D143" s="22" t="s">
        <v>286</v>
      </c>
      <c r="E143" s="32">
        <f t="shared" si="5"/>
        <v>98235</v>
      </c>
    </row>
    <row r="144">
      <c r="A144" s="26" t="s">
        <v>287</v>
      </c>
      <c r="B144" s="21">
        <v>15.0</v>
      </c>
      <c r="C144" s="22" t="s">
        <v>377</v>
      </c>
      <c r="D144" s="22" t="s">
        <v>288</v>
      </c>
      <c r="E144" s="32">
        <f t="shared" si="5"/>
        <v>98235</v>
      </c>
    </row>
    <row r="145">
      <c r="A145" s="26" t="s">
        <v>289</v>
      </c>
      <c r="B145" s="21">
        <v>15.0</v>
      </c>
      <c r="C145" s="22" t="s">
        <v>377</v>
      </c>
      <c r="D145" s="22" t="s">
        <v>290</v>
      </c>
      <c r="E145" s="32">
        <f t="shared" si="5"/>
        <v>98235</v>
      </c>
    </row>
    <row r="146">
      <c r="A146" s="26" t="s">
        <v>291</v>
      </c>
      <c r="B146" s="21">
        <v>15.0</v>
      </c>
      <c r="C146" s="22" t="s">
        <v>377</v>
      </c>
      <c r="D146" s="22" t="s">
        <v>292</v>
      </c>
      <c r="E146" s="32">
        <f t="shared" si="5"/>
        <v>98235</v>
      </c>
    </row>
    <row r="147">
      <c r="A147" s="26" t="s">
        <v>293</v>
      </c>
      <c r="B147" s="21">
        <v>15.0</v>
      </c>
      <c r="C147" s="22" t="s">
        <v>377</v>
      </c>
      <c r="D147" s="22" t="s">
        <v>294</v>
      </c>
      <c r="E147" s="32">
        <f t="shared" si="5"/>
        <v>98235</v>
      </c>
    </row>
    <row r="148">
      <c r="A148" s="26" t="s">
        <v>295</v>
      </c>
      <c r="B148" s="21">
        <v>15.0</v>
      </c>
      <c r="C148" s="22" t="s">
        <v>377</v>
      </c>
      <c r="D148" s="22" t="s">
        <v>296</v>
      </c>
      <c r="E148" s="32">
        <f t="shared" si="5"/>
        <v>98235</v>
      </c>
    </row>
    <row r="149">
      <c r="A149" s="26" t="s">
        <v>297</v>
      </c>
      <c r="B149" s="21">
        <v>15.0</v>
      </c>
      <c r="C149" s="22" t="s">
        <v>377</v>
      </c>
      <c r="D149" s="22" t="s">
        <v>298</v>
      </c>
      <c r="E149" s="23">
        <v>41958.0</v>
      </c>
    </row>
    <row r="150">
      <c r="A150" s="26" t="s">
        <v>299</v>
      </c>
      <c r="B150" s="21">
        <v>15.0</v>
      </c>
      <c r="C150" s="22" t="s">
        <v>377</v>
      </c>
      <c r="D150" s="22" t="s">
        <v>300</v>
      </c>
      <c r="E150" s="23">
        <v>61895.0</v>
      </c>
    </row>
    <row r="151">
      <c r="A151" s="26" t="s">
        <v>301</v>
      </c>
      <c r="B151" s="21">
        <v>15.0</v>
      </c>
      <c r="C151" s="22" t="s">
        <v>377</v>
      </c>
      <c r="D151" s="22" t="s">
        <v>302</v>
      </c>
      <c r="E151" s="23">
        <v>61895.0</v>
      </c>
    </row>
    <row r="152">
      <c r="A152" s="26" t="s">
        <v>303</v>
      </c>
      <c r="B152" s="21">
        <v>15.0</v>
      </c>
      <c r="C152" s="22" t="s">
        <v>377</v>
      </c>
      <c r="D152" s="22" t="s">
        <v>304</v>
      </c>
      <c r="E152" s="23">
        <v>61895.0</v>
      </c>
    </row>
    <row r="153">
      <c r="A153" s="26" t="s">
        <v>305</v>
      </c>
      <c r="B153" s="21">
        <v>15.0</v>
      </c>
      <c r="C153" s="22" t="s">
        <v>377</v>
      </c>
      <c r="D153" s="22" t="s">
        <v>306</v>
      </c>
      <c r="E153" s="23">
        <v>61895.0</v>
      </c>
    </row>
    <row r="154">
      <c r="A154" s="26" t="s">
        <v>307</v>
      </c>
      <c r="B154" s="21">
        <v>15.0</v>
      </c>
      <c r="C154" s="22" t="s">
        <v>377</v>
      </c>
      <c r="D154" s="22" t="s">
        <v>308</v>
      </c>
      <c r="E154" s="23">
        <v>61895.0</v>
      </c>
    </row>
    <row r="155">
      <c r="A155" s="26" t="s">
        <v>309</v>
      </c>
      <c r="B155" s="21">
        <v>15.0</v>
      </c>
      <c r="C155" s="22" t="s">
        <v>377</v>
      </c>
      <c r="D155" s="22" t="s">
        <v>310</v>
      </c>
      <c r="E155" s="23">
        <v>61895.0</v>
      </c>
    </row>
    <row r="156">
      <c r="A156" s="26" t="s">
        <v>311</v>
      </c>
      <c r="B156" s="21">
        <v>15.0</v>
      </c>
      <c r="C156" s="22" t="s">
        <v>377</v>
      </c>
      <c r="D156" s="22" t="s">
        <v>312</v>
      </c>
      <c r="E156" s="23">
        <v>116550.0</v>
      </c>
    </row>
    <row r="157">
      <c r="A157" s="26" t="s">
        <v>313</v>
      </c>
      <c r="B157" s="21">
        <v>15.0</v>
      </c>
      <c r="C157" s="22" t="s">
        <v>377</v>
      </c>
      <c r="D157" s="22" t="s">
        <v>314</v>
      </c>
      <c r="E157" s="23">
        <v>49500.0</v>
      </c>
    </row>
    <row r="158">
      <c r="A158" s="26" t="s">
        <v>315</v>
      </c>
      <c r="B158" s="21">
        <v>15.0</v>
      </c>
      <c r="C158" s="22" t="s">
        <v>377</v>
      </c>
      <c r="D158" s="22" t="s">
        <v>316</v>
      </c>
      <c r="E158" s="23">
        <v>79365.0</v>
      </c>
    </row>
    <row r="159">
      <c r="A159" s="26" t="s">
        <v>317</v>
      </c>
      <c r="B159" s="21">
        <v>15.0</v>
      </c>
      <c r="C159" s="22" t="s">
        <v>377</v>
      </c>
      <c r="D159" s="22" t="s">
        <v>318</v>
      </c>
      <c r="E159" s="23">
        <v>7500.0</v>
      </c>
    </row>
    <row r="160">
      <c r="A160" s="26" t="s">
        <v>319</v>
      </c>
      <c r="B160" s="21">
        <v>15.0</v>
      </c>
      <c r="C160" s="22" t="s">
        <v>377</v>
      </c>
      <c r="D160" s="22" t="s">
        <v>320</v>
      </c>
      <c r="E160" s="23">
        <v>279276.0</v>
      </c>
    </row>
    <row r="161">
      <c r="A161" s="26" t="s">
        <v>321</v>
      </c>
      <c r="B161" s="21">
        <v>15.0</v>
      </c>
      <c r="C161" s="22" t="s">
        <v>377</v>
      </c>
      <c r="D161" s="22" t="s">
        <v>322</v>
      </c>
      <c r="E161" s="23">
        <v>337995.0</v>
      </c>
    </row>
    <row r="162">
      <c r="A162" s="26" t="s">
        <v>323</v>
      </c>
      <c r="B162" s="21">
        <v>15.0</v>
      </c>
      <c r="C162" s="22" t="s">
        <v>377</v>
      </c>
      <c r="D162" s="22" t="s">
        <v>324</v>
      </c>
      <c r="E162" s="23">
        <v>245310.0</v>
      </c>
    </row>
    <row r="163">
      <c r="A163" s="26" t="s">
        <v>325</v>
      </c>
      <c r="B163" s="21">
        <v>15.0</v>
      </c>
      <c r="C163" s="22" t="s">
        <v>377</v>
      </c>
      <c r="D163" s="22" t="s">
        <v>326</v>
      </c>
      <c r="E163" s="23">
        <v>245310.0</v>
      </c>
    </row>
    <row r="164">
      <c r="A164" s="26" t="s">
        <v>327</v>
      </c>
      <c r="B164" s="21">
        <v>15.0</v>
      </c>
      <c r="C164" s="22" t="s">
        <v>377</v>
      </c>
      <c r="D164" s="22" t="s">
        <v>328</v>
      </c>
      <c r="E164" s="23">
        <v>245310.0</v>
      </c>
    </row>
    <row r="165">
      <c r="A165" s="26" t="s">
        <v>329</v>
      </c>
      <c r="B165" s="21">
        <v>5.0</v>
      </c>
      <c r="C165" s="22" t="s">
        <v>377</v>
      </c>
      <c r="D165" s="22" t="s">
        <v>330</v>
      </c>
      <c r="E165" s="23">
        <v>111000.0</v>
      </c>
    </row>
    <row r="166">
      <c r="A166" s="26" t="s">
        <v>331</v>
      </c>
      <c r="B166" s="21">
        <v>15.0</v>
      </c>
      <c r="C166" s="22" t="s">
        <v>376</v>
      </c>
      <c r="D166" s="22" t="s">
        <v>332</v>
      </c>
      <c r="E166" s="23">
        <v>12843.0</v>
      </c>
    </row>
    <row r="167">
      <c r="A167" s="26" t="s">
        <v>333</v>
      </c>
      <c r="B167" s="21">
        <v>12.0</v>
      </c>
      <c r="C167" s="22" t="s">
        <v>376</v>
      </c>
      <c r="D167" s="22" t="s">
        <v>334</v>
      </c>
      <c r="E167" s="23">
        <v>6500.0</v>
      </c>
    </row>
    <row r="168">
      <c r="A168" s="26" t="s">
        <v>335</v>
      </c>
      <c r="B168" s="21">
        <v>15.0</v>
      </c>
      <c r="C168" s="22" t="s">
        <v>377</v>
      </c>
      <c r="D168" s="22" t="s">
        <v>336</v>
      </c>
      <c r="E168" s="32">
        <v>38850.0</v>
      </c>
    </row>
    <row r="169">
      <c r="A169" s="26" t="s">
        <v>337</v>
      </c>
      <c r="B169" s="21">
        <v>2.0</v>
      </c>
      <c r="C169" s="22" t="s">
        <v>377</v>
      </c>
      <c r="D169" s="22" t="s">
        <v>338</v>
      </c>
      <c r="E169" s="23">
        <v>15501.0</v>
      </c>
    </row>
    <row r="170">
      <c r="A170" s="26" t="s">
        <v>339</v>
      </c>
      <c r="B170" s="21">
        <v>15.0</v>
      </c>
      <c r="C170" s="22" t="s">
        <v>377</v>
      </c>
      <c r="D170" s="22" t="s">
        <v>340</v>
      </c>
      <c r="E170" s="23">
        <v>12843.0</v>
      </c>
    </row>
    <row r="171">
      <c r="A171" s="26" t="s">
        <v>341</v>
      </c>
      <c r="B171" s="21">
        <v>15.0</v>
      </c>
      <c r="C171" s="22" t="s">
        <v>377</v>
      </c>
      <c r="D171" s="22" t="s">
        <v>342</v>
      </c>
      <c r="E171" s="23">
        <v>15000.0</v>
      </c>
    </row>
    <row r="172">
      <c r="A172" s="26" t="s">
        <v>343</v>
      </c>
      <c r="B172" s="21">
        <v>2.0</v>
      </c>
      <c r="C172" s="22" t="s">
        <v>377</v>
      </c>
      <c r="D172" s="22" t="s">
        <v>344</v>
      </c>
      <c r="E172" s="23">
        <v>70000.0</v>
      </c>
    </row>
    <row r="173">
      <c r="A173" s="26" t="s">
        <v>345</v>
      </c>
      <c r="B173" s="21">
        <v>3.0</v>
      </c>
      <c r="C173" s="22" t="s">
        <v>377</v>
      </c>
      <c r="D173" s="22" t="s">
        <v>346</v>
      </c>
      <c r="E173" s="23">
        <v>20000.0</v>
      </c>
    </row>
    <row r="174">
      <c r="A174" s="26" t="s">
        <v>347</v>
      </c>
      <c r="B174" s="21">
        <v>5.0</v>
      </c>
      <c r="C174" s="22" t="s">
        <v>377</v>
      </c>
      <c r="D174" s="22" t="s">
        <v>348</v>
      </c>
      <c r="E174" s="23">
        <v>0.0</v>
      </c>
    </row>
    <row r="175">
      <c r="A175" s="26" t="s">
        <v>349</v>
      </c>
      <c r="B175" s="21">
        <v>10.0</v>
      </c>
      <c r="C175" s="22" t="s">
        <v>376</v>
      </c>
      <c r="D175" s="22" t="s">
        <v>350</v>
      </c>
      <c r="E175" s="23">
        <v>19980.0</v>
      </c>
    </row>
    <row r="176">
      <c r="A176" s="26" t="s">
        <v>351</v>
      </c>
      <c r="B176" s="21">
        <v>10.0</v>
      </c>
      <c r="C176" s="22" t="s">
        <v>377</v>
      </c>
      <c r="D176" s="22" t="s">
        <v>352</v>
      </c>
      <c r="E176" s="23">
        <v>32000.0</v>
      </c>
    </row>
    <row r="177">
      <c r="A177" s="26" t="s">
        <v>353</v>
      </c>
      <c r="B177" s="21">
        <v>10.0</v>
      </c>
      <c r="C177" s="22" t="s">
        <v>377</v>
      </c>
      <c r="D177" s="22" t="s">
        <v>354</v>
      </c>
      <c r="E177" s="23">
        <v>2500.0</v>
      </c>
    </row>
    <row r="178">
      <c r="A178" s="26" t="s">
        <v>355</v>
      </c>
      <c r="B178" s="21">
        <v>50.0</v>
      </c>
      <c r="C178" s="22" t="s">
        <v>378</v>
      </c>
      <c r="D178" s="22" t="s">
        <v>356</v>
      </c>
      <c r="E178" s="23">
        <v>31136.0</v>
      </c>
    </row>
    <row r="179">
      <c r="A179" s="26" t="s">
        <v>357</v>
      </c>
      <c r="B179" s="21">
        <v>50.0</v>
      </c>
      <c r="C179" s="22" t="s">
        <v>378</v>
      </c>
      <c r="D179" s="22" t="s">
        <v>358</v>
      </c>
      <c r="E179" s="23">
        <v>24087.0</v>
      </c>
    </row>
    <row r="180">
      <c r="A180" s="20" t="s">
        <v>359</v>
      </c>
      <c r="B180" s="21">
        <v>50.0</v>
      </c>
      <c r="C180" s="22" t="s">
        <v>378</v>
      </c>
      <c r="D180" s="22" t="s">
        <v>360</v>
      </c>
      <c r="E180" s="23">
        <v>24087.0</v>
      </c>
    </row>
    <row r="181">
      <c r="A181" s="26" t="s">
        <v>361</v>
      </c>
      <c r="B181" s="21">
        <v>50.0</v>
      </c>
      <c r="C181" s="22" t="s">
        <v>378</v>
      </c>
      <c r="D181" s="22" t="s">
        <v>362</v>
      </c>
      <c r="E181" s="23">
        <v>18891.0</v>
      </c>
    </row>
    <row r="182">
      <c r="A182" s="20" t="s">
        <v>363</v>
      </c>
      <c r="B182" s="21">
        <v>50.0</v>
      </c>
      <c r="C182" s="22" t="s">
        <v>378</v>
      </c>
      <c r="D182" s="22" t="s">
        <v>364</v>
      </c>
      <c r="E182" s="23">
        <v>1000.0</v>
      </c>
    </row>
    <row r="183">
      <c r="A183" s="20" t="s">
        <v>365</v>
      </c>
      <c r="B183" s="21">
        <v>10.0</v>
      </c>
      <c r="C183" s="22" t="s">
        <v>377</v>
      </c>
      <c r="D183" s="22" t="s">
        <v>366</v>
      </c>
      <c r="E183" s="23">
        <v>0.0</v>
      </c>
    </row>
    <row r="184">
      <c r="A184" s="20" t="s">
        <v>367</v>
      </c>
      <c r="B184" s="21">
        <v>10.0</v>
      </c>
      <c r="C184" s="22" t="s">
        <v>380</v>
      </c>
      <c r="D184" s="22" t="s">
        <v>368</v>
      </c>
      <c r="E184" s="23">
        <v>0.0</v>
      </c>
    </row>
    <row r="185">
      <c r="A185" s="20" t="s">
        <v>369</v>
      </c>
      <c r="B185" s="21">
        <v>1.0</v>
      </c>
      <c r="C185" s="22" t="s">
        <v>381</v>
      </c>
      <c r="D185" s="22" t="s">
        <v>370</v>
      </c>
      <c r="E185" s="23">
        <v>0.0</v>
      </c>
    </row>
    <row r="186">
      <c r="A186" s="20" t="s">
        <v>371</v>
      </c>
      <c r="B186" s="21">
        <v>1.0</v>
      </c>
      <c r="C186" s="22" t="s">
        <v>382</v>
      </c>
      <c r="D186" s="22" t="s">
        <v>372</v>
      </c>
      <c r="E186" s="23">
        <v>0.0</v>
      </c>
    </row>
    <row r="187">
      <c r="A187" s="20"/>
      <c r="B187" s="20"/>
      <c r="C187" s="4"/>
      <c r="D187" s="4"/>
      <c r="E187" s="33"/>
    </row>
    <row r="188">
      <c r="A188" s="20"/>
      <c r="B188" s="20"/>
      <c r="C188" s="4"/>
      <c r="D188" s="4"/>
      <c r="E188" s="33"/>
    </row>
    <row r="189">
      <c r="A189" s="20"/>
      <c r="B189" s="20"/>
      <c r="C189" s="4"/>
      <c r="D189" s="4"/>
      <c r="E189" s="33"/>
    </row>
    <row r="190">
      <c r="A190" s="20"/>
      <c r="B190" s="20"/>
      <c r="C190" s="4"/>
      <c r="D190" s="4"/>
      <c r="E190" s="33"/>
    </row>
    <row r="191">
      <c r="A191" s="20"/>
      <c r="B191" s="20"/>
      <c r="C191" s="4"/>
      <c r="D191" s="4"/>
      <c r="E191" s="33"/>
    </row>
    <row r="192">
      <c r="A192" s="20"/>
      <c r="B192" s="20"/>
      <c r="C192" s="4"/>
      <c r="D192" s="4"/>
      <c r="E192" s="33"/>
    </row>
    <row r="193">
      <c r="A193" s="20"/>
      <c r="B193" s="20"/>
      <c r="C193" s="4"/>
      <c r="D193" s="4"/>
      <c r="E193" s="33"/>
    </row>
    <row r="194">
      <c r="A194" s="20"/>
      <c r="B194" s="20"/>
      <c r="C194" s="4"/>
      <c r="D194" s="4"/>
      <c r="E194" s="33"/>
    </row>
    <row r="195">
      <c r="A195" s="20"/>
      <c r="B195" s="20"/>
      <c r="C195" s="4"/>
      <c r="D195" s="4"/>
      <c r="E195" s="33"/>
    </row>
    <row r="196">
      <c r="A196" s="20"/>
      <c r="B196" s="20"/>
      <c r="C196" s="4"/>
      <c r="D196" s="4"/>
      <c r="E196" s="33"/>
    </row>
    <row r="197">
      <c r="A197" s="20"/>
      <c r="B197" s="20"/>
      <c r="C197" s="4"/>
      <c r="D197" s="4"/>
      <c r="E197" s="33"/>
    </row>
    <row r="198">
      <c r="A198" s="20"/>
      <c r="B198" s="20"/>
      <c r="C198" s="4"/>
      <c r="D198" s="4"/>
      <c r="E198" s="33"/>
    </row>
    <row r="199">
      <c r="A199" s="20"/>
      <c r="B199" s="20"/>
      <c r="C199" s="4"/>
      <c r="D199" s="4"/>
      <c r="E199" s="33"/>
    </row>
    <row r="200">
      <c r="A200" s="20"/>
      <c r="B200" s="20"/>
      <c r="C200" s="4"/>
      <c r="D200" s="4"/>
      <c r="E200" s="33"/>
    </row>
    <row r="201">
      <c r="A201" s="20"/>
      <c r="B201" s="20"/>
      <c r="C201" s="4"/>
      <c r="D201" s="4"/>
      <c r="E201" s="33"/>
    </row>
    <row r="202">
      <c r="A202" s="20"/>
      <c r="B202" s="20"/>
      <c r="C202" s="4"/>
      <c r="D202" s="4"/>
      <c r="E202" s="33"/>
    </row>
    <row r="203">
      <c r="A203" s="20"/>
      <c r="B203" s="20"/>
      <c r="C203" s="4"/>
      <c r="D203" s="4"/>
      <c r="E203" s="33"/>
    </row>
    <row r="204">
      <c r="A204" s="20"/>
      <c r="B204" s="20"/>
      <c r="C204" s="4"/>
      <c r="D204" s="4"/>
      <c r="E204" s="33"/>
    </row>
    <row r="205">
      <c r="A205" s="20"/>
      <c r="B205" s="20"/>
      <c r="C205" s="4"/>
      <c r="D205" s="4"/>
      <c r="E205" s="33"/>
    </row>
    <row r="206">
      <c r="A206" s="20"/>
      <c r="B206" s="20"/>
      <c r="C206" s="4"/>
      <c r="D206" s="4"/>
      <c r="E206" s="33"/>
    </row>
    <row r="207">
      <c r="A207" s="20"/>
      <c r="B207" s="20"/>
      <c r="C207" s="4"/>
      <c r="D207" s="4"/>
      <c r="E207" s="33"/>
    </row>
    <row r="208">
      <c r="A208" s="20"/>
      <c r="B208" s="20"/>
      <c r="C208" s="4"/>
      <c r="D208" s="4"/>
      <c r="E208" s="33"/>
    </row>
    <row r="209">
      <c r="A209" s="20"/>
      <c r="B209" s="20"/>
      <c r="C209" s="4"/>
      <c r="D209" s="4"/>
      <c r="E209" s="33"/>
    </row>
    <row r="210">
      <c r="A210" s="20"/>
      <c r="B210" s="20"/>
      <c r="C210" s="4"/>
      <c r="D210" s="4"/>
      <c r="E210" s="33"/>
    </row>
    <row r="211">
      <c r="A211" s="20"/>
      <c r="B211" s="20"/>
      <c r="C211" s="4"/>
      <c r="D211" s="4"/>
      <c r="E211" s="33"/>
    </row>
    <row r="212">
      <c r="A212" s="20"/>
      <c r="B212" s="20"/>
      <c r="C212" s="4"/>
      <c r="D212" s="4"/>
      <c r="E212" s="33"/>
    </row>
    <row r="213">
      <c r="A213" s="20"/>
      <c r="B213" s="20"/>
      <c r="C213" s="4"/>
      <c r="D213" s="4"/>
      <c r="E213" s="33"/>
    </row>
    <row r="214">
      <c r="A214" s="20"/>
      <c r="B214" s="20"/>
      <c r="C214" s="4"/>
      <c r="D214" s="4"/>
      <c r="E214" s="33"/>
    </row>
    <row r="215">
      <c r="A215" s="20"/>
      <c r="B215" s="20"/>
      <c r="C215" s="4"/>
      <c r="D215" s="4"/>
      <c r="E215" s="33"/>
    </row>
    <row r="216">
      <c r="A216" s="20"/>
      <c r="B216" s="20"/>
      <c r="C216" s="4"/>
      <c r="D216" s="4"/>
      <c r="E216" s="33"/>
    </row>
    <row r="217">
      <c r="A217" s="20"/>
      <c r="B217" s="20"/>
      <c r="C217" s="4"/>
      <c r="D217" s="4"/>
      <c r="E217" s="33"/>
    </row>
    <row r="218">
      <c r="A218" s="20"/>
      <c r="B218" s="20"/>
      <c r="C218" s="4"/>
      <c r="D218" s="4"/>
      <c r="E218" s="33"/>
    </row>
    <row r="219">
      <c r="A219" s="20"/>
      <c r="B219" s="20"/>
      <c r="C219" s="4"/>
      <c r="D219" s="4"/>
      <c r="E219" s="33"/>
    </row>
    <row r="220">
      <c r="A220" s="20"/>
      <c r="B220" s="20"/>
      <c r="C220" s="4"/>
      <c r="D220" s="4"/>
      <c r="E220" s="33"/>
    </row>
    <row r="221">
      <c r="A221" s="20"/>
      <c r="B221" s="20"/>
      <c r="C221" s="4"/>
      <c r="D221" s="4"/>
      <c r="E221" s="33"/>
    </row>
    <row r="222">
      <c r="A222" s="20"/>
      <c r="B222" s="20"/>
      <c r="C222" s="4"/>
      <c r="D222" s="4"/>
      <c r="E222" s="33"/>
    </row>
    <row r="223">
      <c r="A223" s="20"/>
      <c r="B223" s="20"/>
      <c r="C223" s="4"/>
      <c r="D223" s="4"/>
      <c r="E223" s="33"/>
    </row>
    <row r="224">
      <c r="A224" s="20"/>
      <c r="B224" s="20"/>
      <c r="C224" s="4"/>
      <c r="D224" s="4"/>
      <c r="E224" s="33"/>
    </row>
    <row r="225">
      <c r="A225" s="20"/>
      <c r="B225" s="20"/>
      <c r="C225" s="4"/>
      <c r="D225" s="4"/>
      <c r="E225" s="33"/>
    </row>
    <row r="226">
      <c r="A226" s="20"/>
      <c r="B226" s="20"/>
      <c r="C226" s="4"/>
      <c r="D226" s="4"/>
      <c r="E226" s="33"/>
    </row>
    <row r="227">
      <c r="A227" s="20"/>
      <c r="B227" s="20"/>
      <c r="C227" s="4"/>
      <c r="D227" s="4"/>
      <c r="E227" s="33"/>
    </row>
    <row r="228">
      <c r="A228" s="20"/>
      <c r="B228" s="20"/>
      <c r="C228" s="4"/>
      <c r="D228" s="4"/>
      <c r="E228" s="33"/>
    </row>
    <row r="229">
      <c r="A229" s="20"/>
      <c r="B229" s="20"/>
      <c r="C229" s="4"/>
      <c r="D229" s="4"/>
      <c r="E229" s="33"/>
    </row>
    <row r="230">
      <c r="A230" s="20"/>
      <c r="B230" s="20"/>
      <c r="C230" s="4"/>
      <c r="D230" s="4"/>
      <c r="E230" s="33"/>
    </row>
    <row r="231">
      <c r="A231" s="20"/>
      <c r="B231" s="20"/>
      <c r="C231" s="4"/>
      <c r="D231" s="4"/>
      <c r="E231" s="33"/>
    </row>
    <row r="232">
      <c r="A232" s="20"/>
      <c r="B232" s="20"/>
      <c r="C232" s="4"/>
      <c r="D232" s="4"/>
      <c r="E232" s="33"/>
    </row>
    <row r="233">
      <c r="A233" s="20"/>
      <c r="B233" s="20"/>
      <c r="C233" s="4"/>
      <c r="D233" s="4"/>
      <c r="E233" s="33"/>
    </row>
    <row r="234">
      <c r="A234" s="20"/>
      <c r="B234" s="20"/>
      <c r="C234" s="4"/>
      <c r="D234" s="4"/>
      <c r="E234" s="33"/>
    </row>
    <row r="235">
      <c r="A235" s="20"/>
      <c r="B235" s="20"/>
      <c r="C235" s="4"/>
      <c r="D235" s="4"/>
      <c r="E235" s="33"/>
    </row>
    <row r="236">
      <c r="A236" s="20"/>
      <c r="B236" s="20"/>
      <c r="C236" s="4"/>
      <c r="D236" s="4"/>
      <c r="E236" s="33"/>
    </row>
    <row r="237">
      <c r="A237" s="20"/>
      <c r="B237" s="20"/>
      <c r="C237" s="4"/>
      <c r="D237" s="4"/>
      <c r="E237" s="33"/>
    </row>
    <row r="238">
      <c r="A238" s="20"/>
      <c r="B238" s="20"/>
      <c r="C238" s="4"/>
      <c r="D238" s="4"/>
      <c r="E238" s="33"/>
    </row>
    <row r="239">
      <c r="A239" s="20"/>
      <c r="B239" s="20"/>
      <c r="C239" s="4"/>
      <c r="D239" s="4"/>
      <c r="E239" s="33"/>
    </row>
    <row r="240">
      <c r="A240" s="20"/>
      <c r="B240" s="20"/>
      <c r="C240" s="4"/>
      <c r="D240" s="4"/>
      <c r="E240" s="33"/>
    </row>
    <row r="241">
      <c r="A241" s="20"/>
      <c r="B241" s="20"/>
      <c r="C241" s="4"/>
      <c r="D241" s="4"/>
      <c r="E241" s="33"/>
    </row>
    <row r="242">
      <c r="A242" s="20"/>
      <c r="B242" s="20"/>
      <c r="C242" s="4"/>
      <c r="D242" s="4"/>
      <c r="E242" s="33"/>
    </row>
    <row r="243">
      <c r="A243" s="20"/>
      <c r="B243" s="20"/>
      <c r="C243" s="4"/>
      <c r="D243" s="4"/>
      <c r="E243" s="33"/>
    </row>
    <row r="244">
      <c r="A244" s="20"/>
      <c r="B244" s="20"/>
      <c r="C244" s="4"/>
      <c r="D244" s="4"/>
      <c r="E244" s="33"/>
    </row>
    <row r="245">
      <c r="A245" s="20"/>
      <c r="B245" s="20"/>
      <c r="C245" s="4"/>
      <c r="D245" s="4"/>
      <c r="E245" s="33"/>
    </row>
    <row r="246">
      <c r="A246" s="20"/>
      <c r="B246" s="20"/>
      <c r="C246" s="4"/>
      <c r="D246" s="4"/>
      <c r="E246" s="33"/>
    </row>
    <row r="247">
      <c r="A247" s="20"/>
      <c r="B247" s="20"/>
      <c r="C247" s="4"/>
      <c r="D247" s="4"/>
      <c r="E247" s="33"/>
    </row>
    <row r="248">
      <c r="A248" s="20"/>
      <c r="B248" s="20"/>
      <c r="C248" s="4"/>
      <c r="D248" s="4"/>
      <c r="E248" s="33"/>
    </row>
    <row r="249">
      <c r="A249" s="20"/>
      <c r="B249" s="20"/>
      <c r="C249" s="4"/>
      <c r="D249" s="4"/>
      <c r="E249" s="33"/>
    </row>
    <row r="250">
      <c r="A250" s="20"/>
      <c r="B250" s="20"/>
      <c r="C250" s="4"/>
      <c r="D250" s="4"/>
      <c r="E250" s="33"/>
    </row>
    <row r="251">
      <c r="A251" s="20"/>
      <c r="B251" s="20"/>
      <c r="C251" s="4"/>
      <c r="D251" s="4"/>
      <c r="E251" s="33"/>
    </row>
    <row r="252">
      <c r="A252" s="20"/>
      <c r="B252" s="20"/>
      <c r="C252" s="4"/>
      <c r="D252" s="4"/>
      <c r="E252" s="33"/>
    </row>
    <row r="253">
      <c r="A253" s="20"/>
      <c r="B253" s="20"/>
      <c r="C253" s="4"/>
      <c r="D253" s="4"/>
      <c r="E253" s="33"/>
    </row>
    <row r="254">
      <c r="A254" s="20"/>
      <c r="B254" s="20"/>
      <c r="C254" s="4"/>
      <c r="D254" s="4"/>
      <c r="E254" s="33"/>
    </row>
    <row r="255">
      <c r="A255" s="20"/>
      <c r="B255" s="20"/>
      <c r="C255" s="4"/>
      <c r="D255" s="4"/>
      <c r="E255" s="33"/>
    </row>
    <row r="256">
      <c r="A256" s="20"/>
      <c r="B256" s="20"/>
      <c r="C256" s="4"/>
      <c r="D256" s="4"/>
      <c r="E256" s="33"/>
    </row>
    <row r="257">
      <c r="A257" s="20"/>
      <c r="B257" s="20"/>
      <c r="C257" s="4"/>
      <c r="D257" s="4"/>
      <c r="E257" s="33"/>
    </row>
    <row r="258">
      <c r="A258" s="20"/>
      <c r="B258" s="20"/>
      <c r="C258" s="4"/>
      <c r="D258" s="4"/>
      <c r="E258" s="33"/>
    </row>
    <row r="259">
      <c r="A259" s="20"/>
      <c r="B259" s="20"/>
      <c r="C259" s="4"/>
      <c r="D259" s="4"/>
      <c r="E259" s="33"/>
    </row>
    <row r="260">
      <c r="A260" s="20"/>
      <c r="B260" s="20"/>
      <c r="C260" s="4"/>
      <c r="D260" s="4"/>
      <c r="E260" s="33"/>
    </row>
    <row r="261">
      <c r="A261" s="20"/>
      <c r="B261" s="20"/>
      <c r="C261" s="4"/>
      <c r="D261" s="4"/>
      <c r="E261" s="33"/>
    </row>
    <row r="262">
      <c r="A262" s="20"/>
      <c r="B262" s="20"/>
      <c r="C262" s="4"/>
      <c r="D262" s="4"/>
      <c r="E262" s="33"/>
    </row>
    <row r="263">
      <c r="A263" s="20"/>
      <c r="B263" s="20"/>
      <c r="C263" s="4"/>
      <c r="D263" s="4"/>
      <c r="E263" s="33"/>
    </row>
    <row r="264">
      <c r="A264" s="20"/>
      <c r="B264" s="20"/>
      <c r="C264" s="4"/>
      <c r="D264" s="4"/>
      <c r="E264" s="33"/>
    </row>
    <row r="265">
      <c r="A265" s="20"/>
      <c r="B265" s="20"/>
      <c r="C265" s="4"/>
      <c r="D265" s="4"/>
      <c r="E265" s="33"/>
    </row>
    <row r="266">
      <c r="A266" s="20"/>
      <c r="B266" s="20"/>
      <c r="C266" s="4"/>
      <c r="D266" s="4"/>
      <c r="E266" s="33"/>
    </row>
    <row r="267">
      <c r="A267" s="20"/>
      <c r="B267" s="20"/>
      <c r="C267" s="4"/>
      <c r="D267" s="4"/>
      <c r="E267" s="33"/>
    </row>
    <row r="268">
      <c r="A268" s="20"/>
      <c r="B268" s="20"/>
      <c r="C268" s="4"/>
      <c r="D268" s="4"/>
      <c r="E268" s="33"/>
    </row>
    <row r="269">
      <c r="A269" s="20"/>
      <c r="B269" s="20"/>
      <c r="C269" s="4"/>
      <c r="D269" s="4"/>
      <c r="E269" s="33"/>
    </row>
    <row r="270">
      <c r="A270" s="20"/>
      <c r="B270" s="20"/>
      <c r="C270" s="4"/>
      <c r="D270" s="4"/>
      <c r="E270" s="33"/>
    </row>
    <row r="271">
      <c r="A271" s="20"/>
      <c r="B271" s="20"/>
      <c r="C271" s="4"/>
      <c r="D271" s="4"/>
      <c r="E271" s="33"/>
    </row>
    <row r="272">
      <c r="A272" s="20"/>
      <c r="B272" s="20"/>
      <c r="C272" s="4"/>
      <c r="D272" s="4"/>
      <c r="E272" s="33"/>
    </row>
    <row r="273">
      <c r="A273" s="20"/>
      <c r="B273" s="20"/>
      <c r="C273" s="4"/>
      <c r="D273" s="4"/>
      <c r="E273" s="33"/>
    </row>
    <row r="274">
      <c r="A274" s="20"/>
      <c r="B274" s="20"/>
      <c r="C274" s="4"/>
      <c r="D274" s="4"/>
      <c r="E274" s="33"/>
    </row>
    <row r="275">
      <c r="A275" s="20"/>
      <c r="B275" s="20"/>
      <c r="C275" s="4"/>
      <c r="D275" s="4"/>
      <c r="E275" s="33"/>
    </row>
    <row r="276">
      <c r="A276" s="20"/>
      <c r="B276" s="20"/>
      <c r="C276" s="4"/>
      <c r="D276" s="4"/>
      <c r="E276" s="33"/>
    </row>
    <row r="277">
      <c r="A277" s="20"/>
      <c r="B277" s="20"/>
      <c r="C277" s="4"/>
      <c r="D277" s="4"/>
      <c r="E277" s="33"/>
    </row>
    <row r="278">
      <c r="A278" s="20"/>
      <c r="B278" s="20"/>
      <c r="C278" s="4"/>
      <c r="D278" s="4"/>
      <c r="E278" s="33"/>
    </row>
    <row r="279">
      <c r="A279" s="20"/>
      <c r="B279" s="20"/>
      <c r="C279" s="4"/>
      <c r="D279" s="4"/>
      <c r="E279" s="33"/>
    </row>
    <row r="280">
      <c r="A280" s="20"/>
      <c r="B280" s="20"/>
      <c r="C280" s="4"/>
      <c r="D280" s="4"/>
      <c r="E280" s="33"/>
    </row>
    <row r="281">
      <c r="A281" s="20"/>
      <c r="B281" s="20"/>
      <c r="C281" s="4"/>
      <c r="D281" s="4"/>
      <c r="E281" s="33"/>
    </row>
    <row r="282">
      <c r="A282" s="20"/>
      <c r="B282" s="20"/>
      <c r="C282" s="4"/>
      <c r="D282" s="4"/>
      <c r="E282" s="33"/>
    </row>
    <row r="283">
      <c r="A283" s="20"/>
      <c r="B283" s="20"/>
      <c r="C283" s="4"/>
      <c r="D283" s="4"/>
      <c r="E283" s="33"/>
    </row>
    <row r="284">
      <c r="A284" s="20"/>
      <c r="B284" s="20"/>
      <c r="C284" s="4"/>
      <c r="D284" s="4"/>
      <c r="E284" s="33"/>
    </row>
    <row r="285">
      <c r="A285" s="20"/>
      <c r="B285" s="20"/>
      <c r="C285" s="4"/>
      <c r="D285" s="4"/>
      <c r="E285" s="33"/>
    </row>
    <row r="286">
      <c r="A286" s="20"/>
      <c r="B286" s="20"/>
      <c r="C286" s="4"/>
      <c r="D286" s="4"/>
      <c r="E286" s="33"/>
    </row>
    <row r="287">
      <c r="A287" s="20"/>
      <c r="B287" s="20"/>
      <c r="C287" s="4"/>
      <c r="D287" s="4"/>
      <c r="E287" s="33"/>
    </row>
    <row r="288">
      <c r="A288" s="20"/>
      <c r="B288" s="20"/>
      <c r="C288" s="4"/>
      <c r="D288" s="4"/>
      <c r="E288" s="33"/>
    </row>
    <row r="289">
      <c r="A289" s="20"/>
      <c r="B289" s="20"/>
      <c r="C289" s="4"/>
      <c r="D289" s="4"/>
      <c r="E289" s="33"/>
    </row>
    <row r="290">
      <c r="A290" s="20"/>
      <c r="B290" s="20"/>
      <c r="C290" s="4"/>
      <c r="D290" s="4"/>
      <c r="E290" s="33"/>
    </row>
    <row r="291">
      <c r="A291" s="20"/>
      <c r="B291" s="20"/>
      <c r="C291" s="4"/>
      <c r="D291" s="4"/>
      <c r="E291" s="33"/>
    </row>
    <row r="292">
      <c r="A292" s="20"/>
      <c r="B292" s="20"/>
      <c r="C292" s="4"/>
      <c r="D292" s="4"/>
      <c r="E292" s="33"/>
    </row>
    <row r="293">
      <c r="A293" s="20"/>
      <c r="B293" s="20"/>
      <c r="C293" s="4"/>
      <c r="D293" s="4"/>
      <c r="E293" s="33"/>
    </row>
    <row r="294">
      <c r="A294" s="20"/>
      <c r="B294" s="20"/>
      <c r="C294" s="4"/>
      <c r="D294" s="4"/>
      <c r="E294" s="33"/>
    </row>
    <row r="295">
      <c r="A295" s="20"/>
      <c r="B295" s="20"/>
      <c r="C295" s="4"/>
      <c r="D295" s="4"/>
      <c r="E295" s="33"/>
    </row>
    <row r="296">
      <c r="A296" s="20"/>
      <c r="B296" s="20"/>
      <c r="C296" s="4"/>
      <c r="D296" s="4"/>
      <c r="E296" s="33"/>
    </row>
    <row r="297">
      <c r="A297" s="20"/>
      <c r="B297" s="20"/>
      <c r="C297" s="4"/>
      <c r="D297" s="4"/>
      <c r="E297" s="33"/>
    </row>
    <row r="298">
      <c r="A298" s="20"/>
      <c r="B298" s="20"/>
      <c r="C298" s="4"/>
      <c r="D298" s="4"/>
      <c r="E298" s="33"/>
    </row>
    <row r="299">
      <c r="A299" s="20"/>
      <c r="B299" s="20"/>
      <c r="C299" s="4"/>
      <c r="D299" s="4"/>
      <c r="E299" s="33"/>
    </row>
    <row r="300">
      <c r="A300" s="20"/>
      <c r="B300" s="20"/>
      <c r="C300" s="4"/>
      <c r="D300" s="4"/>
      <c r="E300" s="33"/>
    </row>
    <row r="301">
      <c r="A301" s="20"/>
      <c r="B301" s="20"/>
      <c r="C301" s="4"/>
      <c r="D301" s="4"/>
      <c r="E301" s="33"/>
    </row>
    <row r="302">
      <c r="A302" s="20"/>
      <c r="B302" s="20"/>
      <c r="C302" s="4"/>
      <c r="D302" s="4"/>
      <c r="E302" s="33"/>
    </row>
    <row r="303">
      <c r="A303" s="20"/>
      <c r="B303" s="20"/>
      <c r="C303" s="4"/>
      <c r="D303" s="4"/>
      <c r="E303" s="33"/>
    </row>
    <row r="304">
      <c r="A304" s="20"/>
      <c r="B304" s="20"/>
      <c r="C304" s="4"/>
      <c r="D304" s="4"/>
      <c r="E304" s="33"/>
    </row>
    <row r="305">
      <c r="A305" s="20"/>
      <c r="B305" s="20"/>
      <c r="C305" s="4"/>
      <c r="D305" s="4"/>
      <c r="E305" s="33"/>
    </row>
    <row r="306">
      <c r="A306" s="20"/>
      <c r="B306" s="20"/>
      <c r="C306" s="4"/>
      <c r="D306" s="4"/>
      <c r="E306" s="33"/>
    </row>
    <row r="307">
      <c r="A307" s="20"/>
      <c r="B307" s="20"/>
      <c r="C307" s="4"/>
      <c r="D307" s="4"/>
      <c r="E307" s="33"/>
    </row>
    <row r="308">
      <c r="A308" s="20"/>
      <c r="B308" s="20"/>
      <c r="C308" s="4"/>
      <c r="D308" s="4"/>
      <c r="E308" s="33"/>
    </row>
    <row r="309">
      <c r="A309" s="20"/>
      <c r="B309" s="20"/>
      <c r="C309" s="4"/>
      <c r="D309" s="4"/>
      <c r="E309" s="33"/>
    </row>
    <row r="310">
      <c r="A310" s="20"/>
      <c r="B310" s="20"/>
      <c r="C310" s="4"/>
      <c r="D310" s="4"/>
      <c r="E310" s="33"/>
    </row>
    <row r="311">
      <c r="A311" s="20"/>
      <c r="B311" s="20"/>
      <c r="C311" s="4"/>
      <c r="D311" s="4"/>
      <c r="E311" s="33"/>
    </row>
    <row r="312">
      <c r="A312" s="20"/>
      <c r="B312" s="20"/>
      <c r="C312" s="4"/>
      <c r="D312" s="4"/>
      <c r="E312" s="33"/>
    </row>
    <row r="313">
      <c r="A313" s="20"/>
      <c r="B313" s="20"/>
      <c r="C313" s="4"/>
      <c r="D313" s="4"/>
      <c r="E313" s="33"/>
    </row>
    <row r="314">
      <c r="A314" s="20"/>
      <c r="B314" s="20"/>
      <c r="C314" s="4"/>
      <c r="D314" s="4"/>
      <c r="E314" s="33"/>
    </row>
    <row r="315">
      <c r="A315" s="20"/>
      <c r="B315" s="20"/>
      <c r="C315" s="4"/>
      <c r="D315" s="4"/>
      <c r="E315" s="33"/>
    </row>
    <row r="316">
      <c r="A316" s="20"/>
      <c r="B316" s="20"/>
      <c r="C316" s="4"/>
      <c r="D316" s="4"/>
      <c r="E316" s="33"/>
    </row>
    <row r="317">
      <c r="A317" s="20"/>
      <c r="B317" s="20"/>
      <c r="C317" s="4"/>
      <c r="D317" s="4"/>
      <c r="E317" s="33"/>
    </row>
    <row r="318">
      <c r="A318" s="20"/>
      <c r="B318" s="20"/>
      <c r="C318" s="4"/>
      <c r="D318" s="4"/>
      <c r="E318" s="33"/>
    </row>
    <row r="319">
      <c r="A319" s="20"/>
      <c r="B319" s="20"/>
      <c r="C319" s="4"/>
      <c r="D319" s="4"/>
      <c r="E319" s="33"/>
    </row>
    <row r="320">
      <c r="A320" s="20"/>
      <c r="B320" s="20"/>
      <c r="C320" s="4"/>
      <c r="D320" s="4"/>
      <c r="E320" s="33"/>
    </row>
    <row r="321">
      <c r="A321" s="20"/>
      <c r="B321" s="20"/>
      <c r="C321" s="4"/>
      <c r="D321" s="4"/>
      <c r="E321" s="33"/>
    </row>
    <row r="322">
      <c r="A322" s="20"/>
      <c r="B322" s="20"/>
      <c r="C322" s="4"/>
      <c r="D322" s="4"/>
      <c r="E322" s="33"/>
    </row>
    <row r="323">
      <c r="A323" s="20"/>
      <c r="B323" s="20"/>
      <c r="C323" s="4"/>
      <c r="D323" s="4"/>
      <c r="E323" s="33"/>
    </row>
    <row r="324">
      <c r="A324" s="20"/>
      <c r="B324" s="20"/>
      <c r="C324" s="4"/>
      <c r="D324" s="4"/>
      <c r="E324" s="33"/>
    </row>
    <row r="325">
      <c r="A325" s="20"/>
      <c r="B325" s="20"/>
      <c r="C325" s="4"/>
      <c r="D325" s="4"/>
      <c r="E325" s="33"/>
    </row>
    <row r="326">
      <c r="A326" s="20"/>
      <c r="B326" s="20"/>
      <c r="C326" s="4"/>
      <c r="D326" s="4"/>
      <c r="E326" s="33"/>
    </row>
    <row r="327">
      <c r="A327" s="20"/>
      <c r="B327" s="20"/>
      <c r="C327" s="4"/>
      <c r="D327" s="4"/>
      <c r="E327" s="33"/>
    </row>
    <row r="328">
      <c r="A328" s="20"/>
      <c r="B328" s="20"/>
      <c r="C328" s="4"/>
      <c r="D328" s="4"/>
      <c r="E328" s="33"/>
    </row>
    <row r="329">
      <c r="A329" s="20"/>
      <c r="B329" s="20"/>
      <c r="C329" s="4"/>
      <c r="D329" s="4"/>
      <c r="E329" s="33"/>
    </row>
    <row r="330">
      <c r="A330" s="20"/>
      <c r="B330" s="20"/>
      <c r="C330" s="4"/>
      <c r="D330" s="4"/>
      <c r="E330" s="33"/>
    </row>
    <row r="331">
      <c r="A331" s="20"/>
      <c r="B331" s="20"/>
      <c r="C331" s="4"/>
      <c r="D331" s="4"/>
      <c r="E331" s="33"/>
    </row>
    <row r="332">
      <c r="A332" s="20"/>
      <c r="B332" s="20"/>
      <c r="C332" s="4"/>
      <c r="D332" s="4"/>
      <c r="E332" s="33"/>
    </row>
    <row r="333">
      <c r="A333" s="20"/>
      <c r="B333" s="20"/>
      <c r="C333" s="4"/>
      <c r="D333" s="4"/>
      <c r="E333" s="33"/>
    </row>
    <row r="334">
      <c r="A334" s="20"/>
      <c r="B334" s="20"/>
      <c r="C334" s="4"/>
      <c r="D334" s="4"/>
      <c r="E334" s="33"/>
    </row>
    <row r="335">
      <c r="A335" s="20"/>
      <c r="B335" s="20"/>
      <c r="C335" s="4"/>
      <c r="D335" s="4"/>
      <c r="E335" s="33"/>
    </row>
    <row r="336">
      <c r="A336" s="20"/>
      <c r="B336" s="20"/>
      <c r="C336" s="4"/>
      <c r="D336" s="4"/>
      <c r="E336" s="33"/>
    </row>
    <row r="337">
      <c r="A337" s="20"/>
      <c r="B337" s="20"/>
      <c r="C337" s="4"/>
      <c r="D337" s="4"/>
      <c r="E337" s="33"/>
    </row>
    <row r="338">
      <c r="A338" s="20"/>
      <c r="B338" s="20"/>
      <c r="C338" s="4"/>
      <c r="D338" s="4"/>
      <c r="E338" s="33"/>
    </row>
    <row r="339">
      <c r="A339" s="20"/>
      <c r="B339" s="20"/>
      <c r="C339" s="4"/>
      <c r="D339" s="4"/>
      <c r="E339" s="33"/>
    </row>
    <row r="340">
      <c r="A340" s="20"/>
      <c r="B340" s="20"/>
      <c r="C340" s="4"/>
      <c r="D340" s="4"/>
      <c r="E340" s="33"/>
    </row>
    <row r="341">
      <c r="A341" s="20"/>
      <c r="B341" s="20"/>
      <c r="C341" s="4"/>
      <c r="D341" s="4"/>
      <c r="E341" s="33"/>
    </row>
    <row r="342">
      <c r="A342" s="20"/>
      <c r="B342" s="20"/>
      <c r="C342" s="4"/>
      <c r="D342" s="4"/>
      <c r="E342" s="33"/>
    </row>
    <row r="343">
      <c r="A343" s="20"/>
      <c r="B343" s="20"/>
      <c r="C343" s="4"/>
      <c r="D343" s="4"/>
      <c r="E343" s="33"/>
    </row>
    <row r="344">
      <c r="A344" s="20"/>
      <c r="B344" s="20"/>
      <c r="C344" s="4"/>
      <c r="D344" s="4"/>
      <c r="E344" s="33"/>
    </row>
    <row r="345">
      <c r="A345" s="20"/>
      <c r="B345" s="20"/>
      <c r="C345" s="4"/>
      <c r="D345" s="4"/>
      <c r="E345" s="33"/>
    </row>
    <row r="346">
      <c r="A346" s="20"/>
      <c r="B346" s="20"/>
      <c r="C346" s="4"/>
      <c r="D346" s="4"/>
      <c r="E346" s="33"/>
    </row>
    <row r="347">
      <c r="A347" s="20"/>
      <c r="B347" s="20"/>
      <c r="C347" s="4"/>
      <c r="D347" s="4"/>
      <c r="E347" s="33"/>
    </row>
    <row r="348">
      <c r="A348" s="20"/>
      <c r="B348" s="20"/>
      <c r="C348" s="4"/>
      <c r="D348" s="4"/>
      <c r="E348" s="33"/>
    </row>
    <row r="349">
      <c r="A349" s="20"/>
      <c r="B349" s="20"/>
      <c r="C349" s="4"/>
      <c r="D349" s="4"/>
      <c r="E349" s="33"/>
    </row>
    <row r="350">
      <c r="A350" s="20"/>
      <c r="B350" s="20"/>
      <c r="C350" s="4"/>
      <c r="D350" s="4"/>
      <c r="E350" s="33"/>
    </row>
    <row r="351">
      <c r="A351" s="20"/>
      <c r="B351" s="20"/>
      <c r="C351" s="4"/>
      <c r="D351" s="4"/>
      <c r="E351" s="33"/>
    </row>
    <row r="352">
      <c r="A352" s="20"/>
      <c r="B352" s="20"/>
      <c r="C352" s="4"/>
      <c r="D352" s="4"/>
      <c r="E352" s="33"/>
    </row>
    <row r="353">
      <c r="A353" s="20"/>
      <c r="B353" s="20"/>
      <c r="C353" s="4"/>
      <c r="D353" s="4"/>
      <c r="E353" s="33"/>
    </row>
    <row r="354">
      <c r="A354" s="20"/>
      <c r="B354" s="20"/>
      <c r="C354" s="4"/>
      <c r="D354" s="4"/>
      <c r="E354" s="33"/>
    </row>
    <row r="355">
      <c r="A355" s="20"/>
      <c r="B355" s="20"/>
      <c r="C355" s="4"/>
      <c r="D355" s="4"/>
      <c r="E355" s="33"/>
    </row>
    <row r="356">
      <c r="A356" s="20"/>
      <c r="B356" s="20"/>
      <c r="C356" s="4"/>
      <c r="D356" s="4"/>
      <c r="E356" s="33"/>
    </row>
    <row r="357">
      <c r="A357" s="20"/>
      <c r="B357" s="20"/>
      <c r="C357" s="4"/>
      <c r="D357" s="4"/>
      <c r="E357" s="33"/>
    </row>
    <row r="358">
      <c r="A358" s="20"/>
      <c r="B358" s="20"/>
      <c r="C358" s="4"/>
      <c r="D358" s="4"/>
      <c r="E358" s="33"/>
    </row>
    <row r="359">
      <c r="A359" s="20"/>
      <c r="B359" s="20"/>
      <c r="C359" s="4"/>
      <c r="D359" s="4"/>
      <c r="E359" s="33"/>
    </row>
    <row r="360">
      <c r="A360" s="20"/>
      <c r="B360" s="20"/>
      <c r="C360" s="4"/>
      <c r="D360" s="4"/>
      <c r="E360" s="33"/>
    </row>
    <row r="361">
      <c r="A361" s="20"/>
      <c r="B361" s="20"/>
      <c r="C361" s="4"/>
      <c r="D361" s="4"/>
      <c r="E361" s="33"/>
    </row>
    <row r="362">
      <c r="A362" s="20"/>
      <c r="B362" s="20"/>
      <c r="C362" s="4"/>
      <c r="D362" s="4"/>
      <c r="E362" s="33"/>
    </row>
    <row r="363">
      <c r="A363" s="20"/>
      <c r="B363" s="20"/>
      <c r="C363" s="4"/>
      <c r="D363" s="4"/>
      <c r="E363" s="33"/>
    </row>
    <row r="364">
      <c r="A364" s="20"/>
      <c r="B364" s="20"/>
      <c r="C364" s="4"/>
      <c r="D364" s="4"/>
      <c r="E364" s="33"/>
    </row>
    <row r="365">
      <c r="A365" s="20"/>
      <c r="B365" s="20"/>
      <c r="C365" s="4"/>
      <c r="D365" s="4"/>
      <c r="E365" s="33"/>
    </row>
    <row r="366">
      <c r="A366" s="20"/>
      <c r="B366" s="20"/>
      <c r="C366" s="4"/>
      <c r="D366" s="4"/>
      <c r="E366" s="33"/>
    </row>
    <row r="367">
      <c r="A367" s="20"/>
      <c r="B367" s="20"/>
      <c r="C367" s="4"/>
      <c r="D367" s="4"/>
      <c r="E367" s="33"/>
    </row>
    <row r="368">
      <c r="A368" s="20"/>
      <c r="B368" s="20"/>
      <c r="C368" s="4"/>
      <c r="D368" s="4"/>
      <c r="E368" s="33"/>
    </row>
    <row r="369">
      <c r="A369" s="20"/>
      <c r="B369" s="20"/>
      <c r="C369" s="4"/>
      <c r="D369" s="4"/>
      <c r="E369" s="33"/>
    </row>
    <row r="370">
      <c r="A370" s="20"/>
      <c r="B370" s="20"/>
      <c r="C370" s="4"/>
      <c r="D370" s="4"/>
      <c r="E370" s="33"/>
    </row>
    <row r="371">
      <c r="A371" s="20"/>
      <c r="B371" s="20"/>
      <c r="C371" s="4"/>
      <c r="D371" s="4"/>
      <c r="E371" s="33"/>
    </row>
    <row r="372">
      <c r="A372" s="20"/>
      <c r="B372" s="20"/>
      <c r="C372" s="4"/>
      <c r="D372" s="4"/>
      <c r="E372" s="33"/>
    </row>
    <row r="373">
      <c r="A373" s="20"/>
      <c r="B373" s="20"/>
      <c r="C373" s="4"/>
      <c r="D373" s="4"/>
      <c r="E373" s="33"/>
    </row>
    <row r="374">
      <c r="A374" s="20"/>
      <c r="B374" s="20"/>
      <c r="C374" s="4"/>
      <c r="D374" s="4"/>
      <c r="E374" s="33"/>
    </row>
    <row r="375">
      <c r="A375" s="20"/>
      <c r="B375" s="20"/>
      <c r="C375" s="4"/>
      <c r="D375" s="4"/>
      <c r="E375" s="33"/>
    </row>
    <row r="376">
      <c r="A376" s="20"/>
      <c r="B376" s="20"/>
      <c r="C376" s="4"/>
      <c r="D376" s="4"/>
      <c r="E376" s="33"/>
    </row>
    <row r="377">
      <c r="A377" s="20"/>
      <c r="B377" s="20"/>
      <c r="C377" s="4"/>
      <c r="D377" s="4"/>
      <c r="E377" s="33"/>
    </row>
    <row r="378">
      <c r="A378" s="20"/>
      <c r="B378" s="20"/>
      <c r="C378" s="4"/>
      <c r="D378" s="4"/>
      <c r="E378" s="33"/>
    </row>
    <row r="379">
      <c r="A379" s="20"/>
      <c r="B379" s="20"/>
      <c r="C379" s="4"/>
      <c r="D379" s="4"/>
      <c r="E379" s="33"/>
    </row>
    <row r="380">
      <c r="A380" s="20"/>
      <c r="B380" s="20"/>
      <c r="C380" s="4"/>
      <c r="D380" s="4"/>
      <c r="E380" s="33"/>
    </row>
    <row r="381">
      <c r="A381" s="20"/>
      <c r="B381" s="20"/>
      <c r="C381" s="4"/>
      <c r="D381" s="4"/>
      <c r="E381" s="33"/>
    </row>
    <row r="382">
      <c r="A382" s="20"/>
      <c r="B382" s="20"/>
      <c r="C382" s="4"/>
      <c r="D382" s="4"/>
      <c r="E382" s="33"/>
    </row>
    <row r="383">
      <c r="A383" s="20"/>
      <c r="B383" s="20"/>
      <c r="C383" s="4"/>
      <c r="D383" s="4"/>
      <c r="E383" s="33"/>
    </row>
    <row r="384">
      <c r="A384" s="20"/>
      <c r="B384" s="20"/>
      <c r="C384" s="4"/>
      <c r="D384" s="4"/>
      <c r="E384" s="33"/>
    </row>
    <row r="385">
      <c r="A385" s="20"/>
      <c r="B385" s="20"/>
      <c r="C385" s="4"/>
      <c r="D385" s="4"/>
      <c r="E385" s="33"/>
    </row>
    <row r="386">
      <c r="A386" s="20"/>
      <c r="B386" s="20"/>
      <c r="C386" s="4"/>
      <c r="D386" s="4"/>
      <c r="E386" s="33"/>
    </row>
    <row r="387">
      <c r="A387" s="20"/>
      <c r="B387" s="20"/>
      <c r="C387" s="4"/>
      <c r="D387" s="4"/>
      <c r="E387" s="33"/>
    </row>
    <row r="388">
      <c r="A388" s="20"/>
      <c r="B388" s="20"/>
      <c r="C388" s="4"/>
      <c r="D388" s="4"/>
      <c r="E388" s="33"/>
    </row>
    <row r="389">
      <c r="A389" s="20"/>
      <c r="B389" s="20"/>
      <c r="C389" s="4"/>
      <c r="D389" s="4"/>
      <c r="E389" s="33"/>
    </row>
    <row r="390">
      <c r="A390" s="20"/>
      <c r="B390" s="20"/>
      <c r="C390" s="4"/>
      <c r="D390" s="4"/>
      <c r="E390" s="33"/>
    </row>
    <row r="391">
      <c r="A391" s="20"/>
      <c r="B391" s="20"/>
      <c r="C391" s="4"/>
      <c r="D391" s="4"/>
      <c r="E391" s="33"/>
    </row>
    <row r="392">
      <c r="A392" s="20"/>
      <c r="B392" s="20"/>
      <c r="C392" s="4"/>
      <c r="D392" s="4"/>
      <c r="E392" s="33"/>
    </row>
    <row r="393">
      <c r="A393" s="20"/>
      <c r="B393" s="20"/>
      <c r="C393" s="4"/>
      <c r="D393" s="4"/>
      <c r="E393" s="33"/>
    </row>
    <row r="394">
      <c r="A394" s="20"/>
      <c r="B394" s="20"/>
      <c r="C394" s="4"/>
      <c r="D394" s="4"/>
      <c r="E394" s="33"/>
    </row>
    <row r="395">
      <c r="A395" s="20"/>
      <c r="B395" s="20"/>
      <c r="C395" s="4"/>
      <c r="D395" s="4"/>
      <c r="E395" s="33"/>
    </row>
    <row r="396">
      <c r="A396" s="20"/>
      <c r="B396" s="20"/>
      <c r="C396" s="4"/>
      <c r="D396" s="4"/>
      <c r="E396" s="33"/>
    </row>
    <row r="397">
      <c r="A397" s="20"/>
      <c r="B397" s="20"/>
      <c r="C397" s="4"/>
      <c r="D397" s="4"/>
      <c r="E397" s="33"/>
    </row>
    <row r="398">
      <c r="A398" s="20"/>
      <c r="B398" s="20"/>
      <c r="C398" s="4"/>
      <c r="D398" s="4"/>
      <c r="E398" s="33"/>
    </row>
    <row r="399">
      <c r="A399" s="20"/>
      <c r="B399" s="20"/>
      <c r="C399" s="4"/>
      <c r="D399" s="4"/>
      <c r="E399" s="33"/>
    </row>
    <row r="400">
      <c r="A400" s="20"/>
      <c r="B400" s="20"/>
      <c r="C400" s="4"/>
      <c r="D400" s="4"/>
      <c r="E400" s="33"/>
    </row>
    <row r="401">
      <c r="A401" s="20"/>
      <c r="B401" s="20"/>
      <c r="C401" s="4"/>
      <c r="D401" s="4"/>
      <c r="E401" s="33"/>
    </row>
    <row r="402">
      <c r="A402" s="20"/>
      <c r="B402" s="20"/>
      <c r="C402" s="4"/>
      <c r="D402" s="4"/>
      <c r="E402" s="33"/>
    </row>
    <row r="403">
      <c r="A403" s="20"/>
      <c r="B403" s="20"/>
      <c r="C403" s="4"/>
      <c r="D403" s="4"/>
      <c r="E403" s="33"/>
    </row>
    <row r="404">
      <c r="A404" s="20"/>
      <c r="B404" s="20"/>
      <c r="C404" s="4"/>
      <c r="D404" s="4"/>
      <c r="E404" s="33"/>
    </row>
    <row r="405">
      <c r="A405" s="20"/>
      <c r="B405" s="20"/>
      <c r="C405" s="4"/>
      <c r="D405" s="4"/>
      <c r="E405" s="33"/>
    </row>
    <row r="406">
      <c r="A406" s="20"/>
      <c r="B406" s="20"/>
      <c r="C406" s="4"/>
      <c r="D406" s="4"/>
      <c r="E406" s="33"/>
    </row>
    <row r="407">
      <c r="A407" s="20"/>
      <c r="B407" s="20"/>
      <c r="C407" s="4"/>
      <c r="D407" s="4"/>
      <c r="E407" s="33"/>
    </row>
    <row r="408">
      <c r="A408" s="20"/>
      <c r="B408" s="20"/>
      <c r="C408" s="4"/>
      <c r="D408" s="4"/>
      <c r="E408" s="33"/>
    </row>
    <row r="409">
      <c r="A409" s="20"/>
      <c r="B409" s="20"/>
      <c r="C409" s="4"/>
      <c r="D409" s="4"/>
      <c r="E409" s="33"/>
    </row>
    <row r="410">
      <c r="A410" s="20"/>
      <c r="B410" s="20"/>
      <c r="C410" s="4"/>
      <c r="D410" s="4"/>
      <c r="E410" s="33"/>
    </row>
    <row r="411">
      <c r="A411" s="20"/>
      <c r="B411" s="20"/>
      <c r="C411" s="4"/>
      <c r="D411" s="4"/>
      <c r="E411" s="33"/>
    </row>
    <row r="412">
      <c r="A412" s="20"/>
      <c r="B412" s="20"/>
      <c r="C412" s="4"/>
      <c r="D412" s="4"/>
      <c r="E412" s="33"/>
    </row>
    <row r="413">
      <c r="A413" s="20"/>
      <c r="B413" s="20"/>
      <c r="C413" s="4"/>
      <c r="D413" s="4"/>
      <c r="E413" s="33"/>
    </row>
    <row r="414">
      <c r="A414" s="20"/>
      <c r="B414" s="20"/>
      <c r="C414" s="4"/>
      <c r="D414" s="4"/>
      <c r="E414" s="33"/>
    </row>
    <row r="415">
      <c r="A415" s="20"/>
      <c r="B415" s="20"/>
      <c r="C415" s="4"/>
      <c r="D415" s="4"/>
      <c r="E415" s="33"/>
    </row>
    <row r="416">
      <c r="A416" s="20"/>
      <c r="B416" s="20"/>
      <c r="C416" s="4"/>
      <c r="D416" s="4"/>
      <c r="E416" s="33"/>
    </row>
    <row r="417">
      <c r="A417" s="20"/>
      <c r="B417" s="20"/>
      <c r="C417" s="4"/>
      <c r="D417" s="4"/>
      <c r="E417" s="33"/>
    </row>
    <row r="418">
      <c r="A418" s="20"/>
      <c r="B418" s="20"/>
      <c r="C418" s="4"/>
      <c r="D418" s="4"/>
      <c r="E418" s="33"/>
    </row>
    <row r="419">
      <c r="A419" s="20"/>
      <c r="B419" s="20"/>
      <c r="C419" s="4"/>
      <c r="D419" s="4"/>
      <c r="E419" s="33"/>
    </row>
    <row r="420">
      <c r="A420" s="20"/>
      <c r="B420" s="20"/>
      <c r="C420" s="4"/>
      <c r="D420" s="4"/>
      <c r="E420" s="33"/>
    </row>
    <row r="421">
      <c r="A421" s="20"/>
      <c r="B421" s="20"/>
      <c r="C421" s="4"/>
      <c r="D421" s="4"/>
      <c r="E421" s="33"/>
    </row>
    <row r="422">
      <c r="A422" s="20"/>
      <c r="B422" s="20"/>
      <c r="C422" s="4"/>
      <c r="D422" s="4"/>
      <c r="E422" s="33"/>
    </row>
    <row r="423">
      <c r="A423" s="20"/>
      <c r="B423" s="20"/>
      <c r="C423" s="4"/>
      <c r="D423" s="4"/>
      <c r="E423" s="33"/>
    </row>
    <row r="424">
      <c r="A424" s="20"/>
      <c r="B424" s="20"/>
      <c r="C424" s="4"/>
      <c r="D424" s="4"/>
      <c r="E424" s="33"/>
    </row>
    <row r="425">
      <c r="A425" s="20"/>
      <c r="B425" s="20"/>
      <c r="C425" s="4"/>
      <c r="D425" s="4"/>
      <c r="E425" s="33"/>
    </row>
    <row r="426">
      <c r="A426" s="20"/>
      <c r="B426" s="20"/>
      <c r="C426" s="4"/>
      <c r="D426" s="4"/>
      <c r="E426" s="33"/>
    </row>
    <row r="427">
      <c r="A427" s="20"/>
      <c r="B427" s="20"/>
      <c r="C427" s="4"/>
      <c r="D427" s="4"/>
      <c r="E427" s="33"/>
    </row>
    <row r="428">
      <c r="A428" s="20"/>
      <c r="B428" s="20"/>
      <c r="C428" s="4"/>
      <c r="D428" s="4"/>
      <c r="E428" s="33"/>
    </row>
    <row r="429">
      <c r="A429" s="20"/>
      <c r="B429" s="20"/>
      <c r="C429" s="4"/>
      <c r="D429" s="4"/>
      <c r="E429" s="33"/>
    </row>
    <row r="430">
      <c r="A430" s="20"/>
      <c r="B430" s="20"/>
      <c r="C430" s="4"/>
      <c r="D430" s="4"/>
      <c r="E430" s="33"/>
    </row>
    <row r="431">
      <c r="A431" s="20"/>
      <c r="B431" s="20"/>
      <c r="C431" s="4"/>
      <c r="D431" s="4"/>
      <c r="E431" s="33"/>
    </row>
    <row r="432">
      <c r="A432" s="20"/>
      <c r="B432" s="20"/>
      <c r="C432" s="4"/>
      <c r="D432" s="4"/>
      <c r="E432" s="33"/>
    </row>
    <row r="433">
      <c r="A433" s="20"/>
      <c r="B433" s="20"/>
      <c r="C433" s="4"/>
      <c r="D433" s="4"/>
      <c r="E433" s="33"/>
    </row>
    <row r="434">
      <c r="A434" s="20"/>
      <c r="B434" s="20"/>
      <c r="C434" s="4"/>
      <c r="D434" s="4"/>
      <c r="E434" s="33"/>
    </row>
    <row r="435">
      <c r="A435" s="20"/>
      <c r="B435" s="20"/>
      <c r="C435" s="4"/>
      <c r="D435" s="4"/>
      <c r="E435" s="33"/>
    </row>
    <row r="436">
      <c r="A436" s="20"/>
      <c r="B436" s="20"/>
      <c r="C436" s="4"/>
      <c r="D436" s="4"/>
      <c r="E436" s="33"/>
    </row>
    <row r="437">
      <c r="A437" s="20"/>
      <c r="B437" s="20"/>
      <c r="C437" s="4"/>
      <c r="D437" s="4"/>
      <c r="E437" s="33"/>
    </row>
    <row r="438">
      <c r="A438" s="20"/>
      <c r="B438" s="20"/>
      <c r="C438" s="4"/>
      <c r="D438" s="4"/>
      <c r="E438" s="33"/>
    </row>
    <row r="439">
      <c r="A439" s="20"/>
      <c r="B439" s="20"/>
      <c r="C439" s="4"/>
      <c r="D439" s="4"/>
      <c r="E439" s="33"/>
    </row>
    <row r="440">
      <c r="A440" s="20"/>
      <c r="B440" s="20"/>
      <c r="C440" s="4"/>
      <c r="D440" s="4"/>
      <c r="E440" s="33"/>
    </row>
    <row r="441">
      <c r="A441" s="20"/>
      <c r="B441" s="20"/>
      <c r="C441" s="4"/>
      <c r="D441" s="4"/>
      <c r="E441" s="33"/>
    </row>
    <row r="442">
      <c r="A442" s="20"/>
      <c r="B442" s="20"/>
      <c r="C442" s="4"/>
      <c r="D442" s="4"/>
      <c r="E442" s="33"/>
    </row>
    <row r="443">
      <c r="A443" s="20"/>
      <c r="B443" s="20"/>
      <c r="C443" s="4"/>
      <c r="D443" s="4"/>
      <c r="E443" s="33"/>
    </row>
    <row r="444">
      <c r="A444" s="20"/>
      <c r="B444" s="20"/>
      <c r="C444" s="4"/>
      <c r="D444" s="4"/>
      <c r="E444" s="33"/>
    </row>
    <row r="445">
      <c r="A445" s="20"/>
      <c r="B445" s="20"/>
      <c r="C445" s="4"/>
      <c r="D445" s="4"/>
      <c r="E445" s="33"/>
    </row>
    <row r="446">
      <c r="A446" s="20"/>
      <c r="B446" s="20"/>
      <c r="C446" s="4"/>
      <c r="D446" s="4"/>
      <c r="E446" s="33"/>
    </row>
    <row r="447">
      <c r="A447" s="20"/>
      <c r="B447" s="20"/>
      <c r="C447" s="4"/>
      <c r="D447" s="4"/>
      <c r="E447" s="33"/>
    </row>
    <row r="448">
      <c r="A448" s="20"/>
      <c r="B448" s="20"/>
      <c r="C448" s="4"/>
      <c r="D448" s="4"/>
      <c r="E448" s="33"/>
    </row>
    <row r="449">
      <c r="A449" s="20"/>
      <c r="B449" s="20"/>
      <c r="C449" s="4"/>
      <c r="D449" s="4"/>
      <c r="E449" s="33"/>
    </row>
    <row r="450">
      <c r="A450" s="20"/>
      <c r="B450" s="20"/>
      <c r="C450" s="4"/>
      <c r="D450" s="4"/>
      <c r="E450" s="33"/>
    </row>
    <row r="451">
      <c r="A451" s="20"/>
      <c r="B451" s="20"/>
      <c r="C451" s="4"/>
      <c r="D451" s="4"/>
      <c r="E451" s="33"/>
    </row>
    <row r="452">
      <c r="A452" s="20"/>
      <c r="B452" s="20"/>
      <c r="C452" s="4"/>
      <c r="D452" s="4"/>
      <c r="E452" s="33"/>
    </row>
    <row r="453">
      <c r="A453" s="20"/>
      <c r="B453" s="20"/>
      <c r="C453" s="4"/>
      <c r="D453" s="4"/>
      <c r="E453" s="33"/>
    </row>
    <row r="454">
      <c r="A454" s="20"/>
      <c r="B454" s="20"/>
      <c r="C454" s="4"/>
      <c r="D454" s="4"/>
      <c r="E454" s="33"/>
    </row>
    <row r="455">
      <c r="A455" s="20"/>
      <c r="B455" s="20"/>
      <c r="C455" s="4"/>
      <c r="D455" s="4"/>
      <c r="E455" s="33"/>
    </row>
    <row r="456">
      <c r="A456" s="20"/>
      <c r="B456" s="20"/>
      <c r="C456" s="4"/>
      <c r="D456" s="4"/>
      <c r="E456" s="33"/>
    </row>
    <row r="457">
      <c r="A457" s="20"/>
      <c r="B457" s="20"/>
      <c r="C457" s="4"/>
      <c r="D457" s="4"/>
      <c r="E457" s="33"/>
    </row>
    <row r="458">
      <c r="A458" s="20"/>
      <c r="B458" s="20"/>
      <c r="C458" s="4"/>
      <c r="D458" s="4"/>
      <c r="E458" s="33"/>
    </row>
    <row r="459">
      <c r="A459" s="20"/>
      <c r="B459" s="20"/>
      <c r="C459" s="4"/>
      <c r="D459" s="4"/>
      <c r="E459" s="33"/>
    </row>
    <row r="460">
      <c r="A460" s="20"/>
      <c r="B460" s="20"/>
      <c r="C460" s="4"/>
      <c r="D460" s="4"/>
      <c r="E460" s="33"/>
    </row>
    <row r="461">
      <c r="A461" s="20"/>
      <c r="B461" s="20"/>
      <c r="C461" s="4"/>
      <c r="D461" s="4"/>
      <c r="E461" s="33"/>
    </row>
    <row r="462">
      <c r="A462" s="20"/>
      <c r="B462" s="20"/>
      <c r="C462" s="4"/>
      <c r="D462" s="4"/>
      <c r="E462" s="33"/>
    </row>
    <row r="463">
      <c r="A463" s="20"/>
      <c r="B463" s="20"/>
      <c r="C463" s="4"/>
      <c r="D463" s="4"/>
      <c r="E463" s="33"/>
    </row>
    <row r="464">
      <c r="A464" s="20"/>
      <c r="B464" s="20"/>
      <c r="C464" s="4"/>
      <c r="D464" s="4"/>
      <c r="E464" s="33"/>
    </row>
    <row r="465">
      <c r="A465" s="20"/>
      <c r="B465" s="20"/>
      <c r="C465" s="4"/>
      <c r="D465" s="4"/>
      <c r="E465" s="33"/>
    </row>
    <row r="466">
      <c r="A466" s="20"/>
      <c r="B466" s="20"/>
      <c r="C466" s="4"/>
      <c r="D466" s="4"/>
      <c r="E466" s="33"/>
    </row>
    <row r="467">
      <c r="A467" s="20"/>
      <c r="B467" s="20"/>
      <c r="C467" s="4"/>
      <c r="D467" s="4"/>
      <c r="E467" s="33"/>
    </row>
    <row r="468">
      <c r="A468" s="20"/>
      <c r="B468" s="20"/>
      <c r="C468" s="4"/>
      <c r="D468" s="4"/>
      <c r="E468" s="33"/>
    </row>
    <row r="469">
      <c r="A469" s="20"/>
      <c r="B469" s="20"/>
      <c r="C469" s="4"/>
      <c r="D469" s="4"/>
      <c r="E469" s="33"/>
    </row>
    <row r="470">
      <c r="A470" s="20"/>
      <c r="B470" s="20"/>
      <c r="C470" s="4"/>
      <c r="D470" s="4"/>
      <c r="E470" s="33"/>
    </row>
    <row r="471">
      <c r="A471" s="20"/>
      <c r="B471" s="20"/>
      <c r="C471" s="4"/>
      <c r="D471" s="4"/>
      <c r="E471" s="33"/>
    </row>
    <row r="472">
      <c r="A472" s="20"/>
      <c r="B472" s="20"/>
      <c r="C472" s="4"/>
      <c r="D472" s="4"/>
      <c r="E472" s="33"/>
    </row>
    <row r="473">
      <c r="A473" s="20"/>
      <c r="B473" s="20"/>
      <c r="C473" s="4"/>
      <c r="D473" s="4"/>
      <c r="E473" s="33"/>
    </row>
    <row r="474">
      <c r="A474" s="20"/>
      <c r="B474" s="20"/>
      <c r="C474" s="4"/>
      <c r="D474" s="4"/>
      <c r="E474" s="33"/>
    </row>
    <row r="475">
      <c r="A475" s="20"/>
      <c r="B475" s="20"/>
      <c r="C475" s="4"/>
      <c r="D475" s="4"/>
      <c r="E475" s="33"/>
    </row>
    <row r="476">
      <c r="A476" s="20"/>
      <c r="B476" s="20"/>
      <c r="C476" s="4"/>
      <c r="D476" s="4"/>
      <c r="E476" s="33"/>
    </row>
    <row r="477">
      <c r="A477" s="20"/>
      <c r="B477" s="20"/>
      <c r="C477" s="4"/>
      <c r="D477" s="4"/>
      <c r="E477" s="33"/>
    </row>
    <row r="478">
      <c r="A478" s="20"/>
      <c r="B478" s="20"/>
      <c r="C478" s="4"/>
      <c r="D478" s="4"/>
      <c r="E478" s="33"/>
    </row>
    <row r="479">
      <c r="A479" s="20"/>
      <c r="B479" s="20"/>
      <c r="C479" s="4"/>
      <c r="D479" s="4"/>
      <c r="E479" s="33"/>
    </row>
    <row r="480">
      <c r="A480" s="20"/>
      <c r="B480" s="20"/>
      <c r="C480" s="4"/>
      <c r="D480" s="4"/>
      <c r="E480" s="33"/>
    </row>
    <row r="481">
      <c r="A481" s="20"/>
      <c r="B481" s="20"/>
      <c r="C481" s="4"/>
      <c r="D481" s="4"/>
      <c r="E481" s="33"/>
    </row>
    <row r="482">
      <c r="A482" s="20"/>
      <c r="B482" s="20"/>
      <c r="C482" s="4"/>
      <c r="D482" s="4"/>
      <c r="E482" s="33"/>
    </row>
    <row r="483">
      <c r="A483" s="20"/>
      <c r="B483" s="20"/>
      <c r="C483" s="4"/>
      <c r="D483" s="4"/>
      <c r="E483" s="33"/>
    </row>
    <row r="484">
      <c r="A484" s="20"/>
      <c r="B484" s="20"/>
      <c r="C484" s="4"/>
      <c r="D484" s="4"/>
      <c r="E484" s="33"/>
    </row>
    <row r="485">
      <c r="A485" s="20"/>
      <c r="B485" s="20"/>
      <c r="C485" s="4"/>
      <c r="D485" s="4"/>
      <c r="E485" s="33"/>
    </row>
    <row r="486">
      <c r="A486" s="20"/>
      <c r="B486" s="20"/>
      <c r="C486" s="4"/>
      <c r="D486" s="4"/>
      <c r="E486" s="33"/>
    </row>
    <row r="487">
      <c r="A487" s="20"/>
      <c r="B487" s="20"/>
      <c r="C487" s="4"/>
      <c r="D487" s="4"/>
      <c r="E487" s="33"/>
    </row>
    <row r="488">
      <c r="A488" s="20"/>
      <c r="B488" s="20"/>
      <c r="C488" s="4"/>
      <c r="D488" s="4"/>
      <c r="E488" s="33"/>
    </row>
    <row r="489">
      <c r="A489" s="20"/>
      <c r="B489" s="20"/>
      <c r="C489" s="4"/>
      <c r="D489" s="4"/>
      <c r="E489" s="33"/>
    </row>
    <row r="490">
      <c r="A490" s="20"/>
      <c r="B490" s="20"/>
      <c r="C490" s="4"/>
      <c r="D490" s="4"/>
      <c r="E490" s="33"/>
    </row>
    <row r="491">
      <c r="A491" s="20"/>
      <c r="B491" s="20"/>
      <c r="C491" s="4"/>
      <c r="D491" s="4"/>
      <c r="E491" s="33"/>
    </row>
    <row r="492">
      <c r="A492" s="20"/>
      <c r="B492" s="20"/>
      <c r="C492" s="4"/>
      <c r="D492" s="4"/>
      <c r="E492" s="33"/>
    </row>
    <row r="493">
      <c r="A493" s="20"/>
      <c r="B493" s="20"/>
      <c r="C493" s="4"/>
      <c r="D493" s="4"/>
      <c r="E493" s="33"/>
    </row>
    <row r="494">
      <c r="A494" s="20"/>
      <c r="B494" s="20"/>
      <c r="C494" s="4"/>
      <c r="D494" s="4"/>
      <c r="E494" s="33"/>
    </row>
    <row r="495">
      <c r="A495" s="20"/>
      <c r="B495" s="20"/>
      <c r="C495" s="4"/>
      <c r="D495" s="4"/>
      <c r="E495" s="33"/>
    </row>
    <row r="496">
      <c r="A496" s="20"/>
      <c r="B496" s="20"/>
      <c r="C496" s="4"/>
      <c r="D496" s="4"/>
      <c r="E496" s="33"/>
    </row>
    <row r="497">
      <c r="A497" s="20"/>
      <c r="B497" s="20"/>
      <c r="C497" s="4"/>
      <c r="D497" s="4"/>
      <c r="E497" s="33"/>
    </row>
    <row r="498">
      <c r="A498" s="20"/>
      <c r="B498" s="20"/>
      <c r="C498" s="4"/>
      <c r="D498" s="4"/>
      <c r="E498" s="33"/>
    </row>
    <row r="499">
      <c r="A499" s="20"/>
      <c r="B499" s="20"/>
      <c r="C499" s="4"/>
      <c r="D499" s="4"/>
      <c r="E499" s="33"/>
    </row>
    <row r="500">
      <c r="A500" s="20"/>
      <c r="B500" s="20"/>
      <c r="C500" s="4"/>
      <c r="D500" s="4"/>
      <c r="E500" s="33"/>
    </row>
    <row r="501">
      <c r="A501" s="20"/>
      <c r="B501" s="20"/>
      <c r="C501" s="4"/>
      <c r="D501" s="4"/>
      <c r="E501" s="33"/>
    </row>
    <row r="502">
      <c r="A502" s="20"/>
      <c r="B502" s="20"/>
      <c r="C502" s="4"/>
      <c r="D502" s="4"/>
      <c r="E502" s="33"/>
    </row>
    <row r="503">
      <c r="A503" s="20"/>
      <c r="B503" s="20"/>
      <c r="C503" s="4"/>
      <c r="D503" s="4"/>
      <c r="E503" s="33"/>
    </row>
    <row r="504">
      <c r="A504" s="20"/>
      <c r="B504" s="20"/>
      <c r="C504" s="4"/>
      <c r="D504" s="4"/>
      <c r="E504" s="33"/>
    </row>
    <row r="505">
      <c r="A505" s="20"/>
      <c r="B505" s="20"/>
      <c r="C505" s="4"/>
      <c r="D505" s="4"/>
      <c r="E505" s="33"/>
    </row>
    <row r="506">
      <c r="A506" s="20"/>
      <c r="B506" s="20"/>
      <c r="C506" s="4"/>
      <c r="D506" s="4"/>
      <c r="E506" s="33"/>
    </row>
    <row r="507">
      <c r="A507" s="20"/>
      <c r="B507" s="20"/>
      <c r="C507" s="4"/>
      <c r="D507" s="4"/>
      <c r="E507" s="33"/>
    </row>
    <row r="508">
      <c r="A508" s="20"/>
      <c r="B508" s="20"/>
      <c r="C508" s="4"/>
      <c r="D508" s="4"/>
      <c r="E508" s="33"/>
    </row>
    <row r="509">
      <c r="A509" s="20"/>
      <c r="B509" s="20"/>
      <c r="C509" s="4"/>
      <c r="D509" s="4"/>
      <c r="E509" s="33"/>
    </row>
    <row r="510">
      <c r="A510" s="20"/>
      <c r="B510" s="20"/>
      <c r="C510" s="4"/>
      <c r="D510" s="4"/>
      <c r="E510" s="33"/>
    </row>
    <row r="511">
      <c r="A511" s="20"/>
      <c r="B511" s="20"/>
      <c r="C511" s="4"/>
      <c r="D511" s="4"/>
      <c r="E511" s="33"/>
    </row>
    <row r="512">
      <c r="A512" s="20"/>
      <c r="B512" s="20"/>
      <c r="C512" s="4"/>
      <c r="D512" s="4"/>
      <c r="E512" s="33"/>
    </row>
    <row r="513">
      <c r="A513" s="20"/>
      <c r="B513" s="20"/>
      <c r="C513" s="4"/>
      <c r="D513" s="4"/>
      <c r="E513" s="33"/>
    </row>
    <row r="514">
      <c r="A514" s="20"/>
      <c r="B514" s="20"/>
      <c r="C514" s="4"/>
      <c r="D514" s="4"/>
      <c r="E514" s="33"/>
    </row>
    <row r="515">
      <c r="A515" s="20"/>
      <c r="B515" s="20"/>
      <c r="C515" s="4"/>
      <c r="D515" s="4"/>
      <c r="E515" s="33"/>
    </row>
    <row r="516">
      <c r="A516" s="20"/>
      <c r="B516" s="20"/>
      <c r="C516" s="4"/>
      <c r="D516" s="4"/>
      <c r="E516" s="33"/>
    </row>
    <row r="517">
      <c r="A517" s="20"/>
      <c r="B517" s="20"/>
      <c r="C517" s="4"/>
      <c r="D517" s="4"/>
      <c r="E517" s="33"/>
    </row>
    <row r="518">
      <c r="A518" s="20"/>
      <c r="B518" s="20"/>
      <c r="C518" s="4"/>
      <c r="D518" s="4"/>
      <c r="E518" s="33"/>
    </row>
    <row r="519">
      <c r="A519" s="20"/>
      <c r="B519" s="20"/>
      <c r="C519" s="4"/>
      <c r="D519" s="4"/>
      <c r="E519" s="33"/>
    </row>
    <row r="520">
      <c r="A520" s="20"/>
      <c r="B520" s="20"/>
      <c r="C520" s="4"/>
      <c r="D520" s="4"/>
      <c r="E520" s="33"/>
    </row>
    <row r="521">
      <c r="A521" s="20"/>
      <c r="B521" s="20"/>
      <c r="C521" s="4"/>
      <c r="D521" s="4"/>
      <c r="E521" s="33"/>
    </row>
    <row r="522">
      <c r="A522" s="20"/>
      <c r="B522" s="20"/>
      <c r="C522" s="4"/>
      <c r="D522" s="4"/>
      <c r="E522" s="33"/>
    </row>
    <row r="523">
      <c r="A523" s="20"/>
      <c r="B523" s="20"/>
      <c r="C523" s="4"/>
      <c r="D523" s="4"/>
      <c r="E523" s="33"/>
    </row>
    <row r="524">
      <c r="A524" s="20"/>
      <c r="B524" s="20"/>
      <c r="C524" s="4"/>
      <c r="D524" s="4"/>
      <c r="E524" s="33"/>
    </row>
    <row r="525">
      <c r="A525" s="20"/>
      <c r="B525" s="20"/>
      <c r="C525" s="4"/>
      <c r="D525" s="4"/>
      <c r="E525" s="33"/>
    </row>
    <row r="526">
      <c r="A526" s="20"/>
      <c r="B526" s="20"/>
      <c r="C526" s="4"/>
      <c r="D526" s="4"/>
      <c r="E526" s="33"/>
    </row>
    <row r="527">
      <c r="A527" s="20"/>
      <c r="B527" s="20"/>
      <c r="C527" s="4"/>
      <c r="D527" s="4"/>
      <c r="E527" s="33"/>
    </row>
    <row r="528">
      <c r="A528" s="20"/>
      <c r="B528" s="20"/>
      <c r="C528" s="4"/>
      <c r="D528" s="4"/>
      <c r="E528" s="33"/>
    </row>
    <row r="529">
      <c r="A529" s="20"/>
      <c r="B529" s="20"/>
      <c r="C529" s="4"/>
      <c r="D529" s="4"/>
      <c r="E529" s="33"/>
    </row>
    <row r="530">
      <c r="A530" s="20"/>
      <c r="B530" s="20"/>
      <c r="C530" s="4"/>
      <c r="D530" s="4"/>
      <c r="E530" s="33"/>
    </row>
    <row r="531">
      <c r="A531" s="20"/>
      <c r="B531" s="20"/>
      <c r="C531" s="4"/>
      <c r="D531" s="4"/>
      <c r="E531" s="33"/>
    </row>
    <row r="532">
      <c r="A532" s="20"/>
      <c r="B532" s="20"/>
      <c r="C532" s="4"/>
      <c r="D532" s="4"/>
      <c r="E532" s="33"/>
    </row>
    <row r="533">
      <c r="A533" s="20"/>
      <c r="B533" s="20"/>
      <c r="C533" s="4"/>
      <c r="D533" s="4"/>
      <c r="E533" s="33"/>
    </row>
    <row r="534">
      <c r="A534" s="20"/>
      <c r="B534" s="20"/>
      <c r="C534" s="4"/>
      <c r="D534" s="4"/>
      <c r="E534" s="33"/>
    </row>
    <row r="535">
      <c r="A535" s="20"/>
      <c r="B535" s="20"/>
      <c r="C535" s="4"/>
      <c r="D535" s="4"/>
      <c r="E535" s="33"/>
    </row>
    <row r="536">
      <c r="A536" s="20"/>
      <c r="B536" s="20"/>
      <c r="C536" s="4"/>
      <c r="D536" s="4"/>
      <c r="E536" s="33"/>
    </row>
    <row r="537">
      <c r="A537" s="20"/>
      <c r="B537" s="20"/>
      <c r="C537" s="4"/>
      <c r="D537" s="4"/>
      <c r="E537" s="33"/>
    </row>
    <row r="538">
      <c r="A538" s="20"/>
      <c r="B538" s="20"/>
      <c r="C538" s="4"/>
      <c r="D538" s="4"/>
      <c r="E538" s="33"/>
    </row>
    <row r="539">
      <c r="A539" s="20"/>
      <c r="B539" s="20"/>
      <c r="C539" s="4"/>
      <c r="D539" s="4"/>
      <c r="E539" s="33"/>
    </row>
    <row r="540">
      <c r="A540" s="20"/>
      <c r="B540" s="20"/>
      <c r="C540" s="4"/>
      <c r="D540" s="4"/>
      <c r="E540" s="33"/>
    </row>
    <row r="541">
      <c r="A541" s="20"/>
      <c r="B541" s="20"/>
      <c r="C541" s="4"/>
      <c r="D541" s="4"/>
      <c r="E541" s="33"/>
    </row>
    <row r="542">
      <c r="A542" s="20"/>
      <c r="B542" s="20"/>
      <c r="C542" s="4"/>
      <c r="D542" s="4"/>
      <c r="E542" s="33"/>
    </row>
    <row r="543">
      <c r="A543" s="20"/>
      <c r="B543" s="20"/>
      <c r="C543" s="4"/>
      <c r="D543" s="4"/>
      <c r="E543" s="33"/>
    </row>
    <row r="544">
      <c r="A544" s="20"/>
      <c r="B544" s="20"/>
      <c r="C544" s="4"/>
      <c r="D544" s="4"/>
      <c r="E544" s="33"/>
    </row>
    <row r="545">
      <c r="A545" s="20"/>
      <c r="B545" s="20"/>
      <c r="C545" s="4"/>
      <c r="D545" s="4"/>
      <c r="E545" s="33"/>
    </row>
    <row r="546">
      <c r="A546" s="20"/>
      <c r="B546" s="20"/>
      <c r="C546" s="4"/>
      <c r="D546" s="4"/>
      <c r="E546" s="33"/>
    </row>
    <row r="547">
      <c r="A547" s="20"/>
      <c r="B547" s="20"/>
      <c r="C547" s="4"/>
      <c r="D547" s="4"/>
      <c r="E547" s="33"/>
    </row>
    <row r="548">
      <c r="A548" s="20"/>
      <c r="B548" s="20"/>
      <c r="C548" s="4"/>
      <c r="D548" s="4"/>
      <c r="E548" s="33"/>
    </row>
    <row r="549">
      <c r="A549" s="20"/>
      <c r="B549" s="20"/>
      <c r="C549" s="4"/>
      <c r="D549" s="4"/>
      <c r="E549" s="33"/>
    </row>
    <row r="550">
      <c r="A550" s="20"/>
      <c r="B550" s="20"/>
      <c r="C550" s="4"/>
      <c r="D550" s="4"/>
      <c r="E550" s="33"/>
    </row>
    <row r="551">
      <c r="A551" s="20"/>
      <c r="B551" s="20"/>
      <c r="C551" s="4"/>
      <c r="D551" s="4"/>
      <c r="E551" s="33"/>
    </row>
    <row r="552">
      <c r="A552" s="20"/>
      <c r="B552" s="20"/>
      <c r="C552" s="4"/>
      <c r="D552" s="4"/>
      <c r="E552" s="33"/>
    </row>
    <row r="553">
      <c r="A553" s="20"/>
      <c r="B553" s="20"/>
      <c r="C553" s="4"/>
      <c r="D553" s="4"/>
      <c r="E553" s="33"/>
    </row>
    <row r="554">
      <c r="A554" s="20"/>
      <c r="B554" s="20"/>
      <c r="C554" s="4"/>
      <c r="D554" s="4"/>
      <c r="E554" s="33"/>
    </row>
    <row r="555">
      <c r="A555" s="20"/>
      <c r="B555" s="20"/>
      <c r="C555" s="4"/>
      <c r="D555" s="4"/>
      <c r="E555" s="33"/>
    </row>
    <row r="556">
      <c r="A556" s="20"/>
      <c r="B556" s="20"/>
      <c r="C556" s="4"/>
      <c r="D556" s="4"/>
      <c r="E556" s="33"/>
    </row>
    <row r="557">
      <c r="A557" s="20"/>
      <c r="B557" s="20"/>
      <c r="C557" s="4"/>
      <c r="D557" s="4"/>
      <c r="E557" s="33"/>
    </row>
    <row r="558">
      <c r="A558" s="20"/>
      <c r="B558" s="20"/>
      <c r="C558" s="4"/>
      <c r="D558" s="4"/>
      <c r="E558" s="33"/>
    </row>
    <row r="559">
      <c r="A559" s="20"/>
      <c r="B559" s="20"/>
      <c r="C559" s="4"/>
      <c r="D559" s="4"/>
      <c r="E559" s="33"/>
    </row>
    <row r="560">
      <c r="A560" s="20"/>
      <c r="B560" s="20"/>
      <c r="C560" s="4"/>
      <c r="D560" s="4"/>
      <c r="E560" s="33"/>
    </row>
    <row r="561">
      <c r="A561" s="20"/>
      <c r="B561" s="20"/>
      <c r="C561" s="4"/>
      <c r="D561" s="4"/>
      <c r="E561" s="33"/>
    </row>
    <row r="562">
      <c r="A562" s="20"/>
      <c r="B562" s="20"/>
      <c r="C562" s="4"/>
      <c r="D562" s="4"/>
      <c r="E562" s="33"/>
    </row>
    <row r="563">
      <c r="A563" s="20"/>
      <c r="B563" s="20"/>
      <c r="C563" s="4"/>
      <c r="D563" s="4"/>
      <c r="E563" s="33"/>
    </row>
    <row r="564">
      <c r="A564" s="20"/>
      <c r="B564" s="20"/>
      <c r="C564" s="4"/>
      <c r="D564" s="4"/>
      <c r="E564" s="33"/>
    </row>
    <row r="565">
      <c r="A565" s="20"/>
      <c r="B565" s="20"/>
      <c r="C565" s="4"/>
      <c r="D565" s="4"/>
      <c r="E565" s="33"/>
    </row>
    <row r="566">
      <c r="A566" s="20"/>
      <c r="B566" s="20"/>
      <c r="C566" s="4"/>
      <c r="D566" s="4"/>
      <c r="E566" s="33"/>
    </row>
    <row r="567">
      <c r="A567" s="20"/>
      <c r="B567" s="20"/>
      <c r="C567" s="4"/>
      <c r="D567" s="4"/>
      <c r="E567" s="33"/>
    </row>
    <row r="568">
      <c r="A568" s="20"/>
      <c r="B568" s="20"/>
      <c r="C568" s="4"/>
      <c r="D568" s="4"/>
      <c r="E568" s="33"/>
    </row>
    <row r="569">
      <c r="A569" s="20"/>
      <c r="B569" s="20"/>
      <c r="C569" s="4"/>
      <c r="D569" s="4"/>
      <c r="E569" s="33"/>
    </row>
    <row r="570">
      <c r="A570" s="20"/>
      <c r="B570" s="20"/>
      <c r="C570" s="4"/>
      <c r="D570" s="4"/>
      <c r="E570" s="33"/>
    </row>
    <row r="571">
      <c r="A571" s="20"/>
      <c r="B571" s="20"/>
      <c r="C571" s="4"/>
      <c r="D571" s="4"/>
      <c r="E571" s="33"/>
    </row>
    <row r="572">
      <c r="A572" s="20"/>
      <c r="B572" s="20"/>
      <c r="C572" s="4"/>
      <c r="D572" s="4"/>
      <c r="E572" s="33"/>
    </row>
    <row r="573">
      <c r="A573" s="20"/>
      <c r="B573" s="20"/>
      <c r="C573" s="4"/>
      <c r="D573" s="4"/>
      <c r="E573" s="33"/>
    </row>
    <row r="574">
      <c r="A574" s="20"/>
      <c r="B574" s="20"/>
      <c r="C574" s="4"/>
      <c r="D574" s="4"/>
      <c r="E574" s="33"/>
    </row>
    <row r="575">
      <c r="A575" s="20"/>
      <c r="B575" s="20"/>
      <c r="C575" s="4"/>
      <c r="D575" s="4"/>
      <c r="E575" s="33"/>
    </row>
    <row r="576">
      <c r="A576" s="20"/>
      <c r="B576" s="20"/>
      <c r="C576" s="4"/>
      <c r="D576" s="4"/>
      <c r="E576" s="33"/>
    </row>
    <row r="577">
      <c r="A577" s="20"/>
      <c r="B577" s="20"/>
      <c r="C577" s="4"/>
      <c r="D577" s="4"/>
      <c r="E577" s="33"/>
    </row>
    <row r="578">
      <c r="A578" s="20"/>
      <c r="B578" s="20"/>
      <c r="C578" s="4"/>
      <c r="D578" s="4"/>
      <c r="E578" s="33"/>
    </row>
    <row r="579">
      <c r="A579" s="20"/>
      <c r="B579" s="20"/>
      <c r="C579" s="4"/>
      <c r="D579" s="4"/>
      <c r="E579" s="33"/>
    </row>
    <row r="580">
      <c r="A580" s="20"/>
      <c r="B580" s="20"/>
      <c r="C580" s="4"/>
      <c r="D580" s="4"/>
      <c r="E580" s="33"/>
    </row>
    <row r="581">
      <c r="A581" s="20"/>
      <c r="B581" s="20"/>
      <c r="C581" s="4"/>
      <c r="D581" s="4"/>
      <c r="E581" s="33"/>
    </row>
    <row r="582">
      <c r="A582" s="20"/>
      <c r="B582" s="20"/>
      <c r="C582" s="4"/>
      <c r="D582" s="4"/>
      <c r="E582" s="33"/>
    </row>
    <row r="583">
      <c r="A583" s="20"/>
      <c r="B583" s="20"/>
      <c r="C583" s="4"/>
      <c r="D583" s="4"/>
      <c r="E583" s="33"/>
    </row>
    <row r="584">
      <c r="A584" s="20"/>
      <c r="B584" s="20"/>
      <c r="C584" s="4"/>
      <c r="D584" s="4"/>
      <c r="E584" s="33"/>
    </row>
    <row r="585">
      <c r="A585" s="20"/>
      <c r="B585" s="20"/>
      <c r="C585" s="4"/>
      <c r="D585" s="4"/>
      <c r="E585" s="33"/>
    </row>
    <row r="586">
      <c r="A586" s="20"/>
      <c r="B586" s="20"/>
      <c r="C586" s="4"/>
      <c r="D586" s="4"/>
      <c r="E586" s="33"/>
    </row>
    <row r="587">
      <c r="A587" s="20"/>
      <c r="B587" s="20"/>
      <c r="C587" s="4"/>
      <c r="D587" s="4"/>
      <c r="E587" s="33"/>
    </row>
    <row r="588">
      <c r="A588" s="20"/>
      <c r="B588" s="20"/>
      <c r="C588" s="4"/>
      <c r="D588" s="4"/>
      <c r="E588" s="33"/>
    </row>
    <row r="589">
      <c r="A589" s="20"/>
      <c r="B589" s="20"/>
      <c r="C589" s="4"/>
      <c r="D589" s="4"/>
      <c r="E589" s="33"/>
    </row>
    <row r="590">
      <c r="A590" s="20"/>
      <c r="B590" s="20"/>
      <c r="C590" s="4"/>
      <c r="D590" s="4"/>
      <c r="E590" s="33"/>
    </row>
    <row r="591">
      <c r="A591" s="20"/>
      <c r="B591" s="20"/>
      <c r="C591" s="4"/>
      <c r="D591" s="4"/>
      <c r="E591" s="33"/>
    </row>
    <row r="592">
      <c r="A592" s="20"/>
      <c r="B592" s="20"/>
      <c r="C592" s="4"/>
      <c r="D592" s="4"/>
      <c r="E592" s="33"/>
    </row>
    <row r="593">
      <c r="A593" s="20"/>
      <c r="B593" s="20"/>
      <c r="C593" s="4"/>
      <c r="D593" s="4"/>
      <c r="E593" s="33"/>
    </row>
    <row r="594">
      <c r="A594" s="20"/>
      <c r="B594" s="20"/>
      <c r="C594" s="4"/>
      <c r="D594" s="4"/>
      <c r="E594" s="33"/>
    </row>
    <row r="595">
      <c r="A595" s="20"/>
      <c r="B595" s="20"/>
      <c r="C595" s="4"/>
      <c r="D595" s="4"/>
      <c r="E595" s="33"/>
    </row>
    <row r="596">
      <c r="A596" s="20"/>
      <c r="B596" s="20"/>
      <c r="C596" s="4"/>
      <c r="D596" s="4"/>
      <c r="E596" s="33"/>
    </row>
    <row r="597">
      <c r="A597" s="20"/>
      <c r="B597" s="20"/>
      <c r="C597" s="4"/>
      <c r="D597" s="4"/>
      <c r="E597" s="33"/>
    </row>
    <row r="598">
      <c r="A598" s="20"/>
      <c r="B598" s="20"/>
      <c r="C598" s="4"/>
      <c r="D598" s="4"/>
      <c r="E598" s="33"/>
    </row>
    <row r="599">
      <c r="A599" s="20"/>
      <c r="B599" s="20"/>
      <c r="C599" s="4"/>
      <c r="D599" s="4"/>
      <c r="E599" s="33"/>
    </row>
    <row r="600">
      <c r="A600" s="20"/>
      <c r="B600" s="20"/>
      <c r="C600" s="4"/>
      <c r="D600" s="4"/>
      <c r="E600" s="33"/>
    </row>
    <row r="601">
      <c r="A601" s="20"/>
      <c r="B601" s="20"/>
      <c r="C601" s="4"/>
      <c r="D601" s="4"/>
      <c r="E601" s="33"/>
    </row>
    <row r="602">
      <c r="A602" s="20"/>
      <c r="B602" s="20"/>
      <c r="C602" s="4"/>
      <c r="D602" s="4"/>
      <c r="E602" s="33"/>
    </row>
    <row r="603">
      <c r="A603" s="20"/>
      <c r="B603" s="20"/>
      <c r="C603" s="4"/>
      <c r="D603" s="4"/>
      <c r="E603" s="33"/>
    </row>
    <row r="604">
      <c r="A604" s="20"/>
      <c r="B604" s="20"/>
      <c r="C604" s="4"/>
      <c r="D604" s="4"/>
      <c r="E604" s="33"/>
    </row>
    <row r="605">
      <c r="A605" s="20"/>
      <c r="B605" s="20"/>
      <c r="C605" s="4"/>
      <c r="D605" s="4"/>
      <c r="E605" s="33"/>
    </row>
    <row r="606">
      <c r="A606" s="20"/>
      <c r="B606" s="20"/>
      <c r="C606" s="4"/>
      <c r="D606" s="4"/>
      <c r="E606" s="33"/>
    </row>
    <row r="607">
      <c r="A607" s="20"/>
      <c r="B607" s="20"/>
      <c r="C607" s="4"/>
      <c r="D607" s="4"/>
      <c r="E607" s="33"/>
    </row>
    <row r="608">
      <c r="A608" s="20"/>
      <c r="B608" s="20"/>
      <c r="C608" s="4"/>
      <c r="D608" s="4"/>
      <c r="E608" s="33"/>
    </row>
    <row r="609">
      <c r="A609" s="20"/>
      <c r="B609" s="20"/>
      <c r="C609" s="4"/>
      <c r="D609" s="4"/>
      <c r="E609" s="33"/>
    </row>
    <row r="610">
      <c r="A610" s="20"/>
      <c r="B610" s="20"/>
      <c r="C610" s="4"/>
      <c r="D610" s="4"/>
      <c r="E610" s="33"/>
    </row>
    <row r="611">
      <c r="A611" s="20"/>
      <c r="B611" s="20"/>
      <c r="C611" s="4"/>
      <c r="D611" s="4"/>
      <c r="E611" s="33"/>
    </row>
    <row r="612">
      <c r="A612" s="20"/>
      <c r="B612" s="20"/>
      <c r="C612" s="4"/>
      <c r="D612" s="4"/>
      <c r="E612" s="33"/>
    </row>
    <row r="613">
      <c r="A613" s="20"/>
      <c r="B613" s="20"/>
      <c r="C613" s="4"/>
      <c r="D613" s="4"/>
      <c r="E613" s="33"/>
    </row>
    <row r="614">
      <c r="A614" s="20"/>
      <c r="B614" s="20"/>
      <c r="C614" s="4"/>
      <c r="D614" s="4"/>
      <c r="E614" s="33"/>
    </row>
    <row r="615">
      <c r="A615" s="20"/>
      <c r="B615" s="20"/>
      <c r="C615" s="4"/>
      <c r="D615" s="4"/>
      <c r="E615" s="33"/>
    </row>
    <row r="616">
      <c r="A616" s="20"/>
      <c r="B616" s="20"/>
      <c r="C616" s="4"/>
      <c r="D616" s="4"/>
      <c r="E616" s="33"/>
    </row>
    <row r="617">
      <c r="A617" s="20"/>
      <c r="B617" s="20"/>
      <c r="C617" s="4"/>
      <c r="D617" s="4"/>
      <c r="E617" s="33"/>
    </row>
    <row r="618">
      <c r="A618" s="20"/>
      <c r="B618" s="20"/>
      <c r="C618" s="4"/>
      <c r="D618" s="4"/>
      <c r="E618" s="33"/>
    </row>
    <row r="619">
      <c r="A619" s="20"/>
      <c r="B619" s="20"/>
      <c r="C619" s="4"/>
      <c r="D619" s="4"/>
      <c r="E619" s="33"/>
    </row>
    <row r="620">
      <c r="A620" s="20"/>
      <c r="B620" s="20"/>
      <c r="C620" s="4"/>
      <c r="D620" s="4"/>
      <c r="E620" s="33"/>
    </row>
    <row r="621">
      <c r="A621" s="20"/>
      <c r="B621" s="20"/>
      <c r="C621" s="4"/>
      <c r="D621" s="4"/>
      <c r="E621" s="33"/>
    </row>
    <row r="622">
      <c r="A622" s="20"/>
      <c r="B622" s="20"/>
      <c r="C622" s="4"/>
      <c r="D622" s="4"/>
      <c r="E622" s="33"/>
    </row>
    <row r="623">
      <c r="A623" s="20"/>
      <c r="B623" s="20"/>
      <c r="C623" s="4"/>
      <c r="D623" s="4"/>
      <c r="E623" s="33"/>
    </row>
    <row r="624">
      <c r="A624" s="20"/>
      <c r="B624" s="20"/>
      <c r="C624" s="4"/>
      <c r="D624" s="4"/>
      <c r="E624" s="33"/>
    </row>
    <row r="625">
      <c r="A625" s="20"/>
      <c r="B625" s="20"/>
      <c r="C625" s="4"/>
      <c r="D625" s="4"/>
      <c r="E625" s="33"/>
    </row>
    <row r="626">
      <c r="A626" s="20"/>
      <c r="B626" s="20"/>
      <c r="C626" s="4"/>
      <c r="D626" s="4"/>
      <c r="E626" s="33"/>
    </row>
    <row r="627">
      <c r="A627" s="20"/>
      <c r="B627" s="20"/>
      <c r="C627" s="4"/>
      <c r="D627" s="4"/>
      <c r="E627" s="33"/>
    </row>
    <row r="628">
      <c r="A628" s="20"/>
      <c r="B628" s="20"/>
      <c r="C628" s="4"/>
      <c r="D628" s="4"/>
      <c r="E628" s="33"/>
    </row>
    <row r="629">
      <c r="A629" s="20"/>
      <c r="B629" s="20"/>
      <c r="C629" s="4"/>
      <c r="D629" s="4"/>
      <c r="E629" s="33"/>
    </row>
    <row r="630">
      <c r="A630" s="20"/>
      <c r="B630" s="20"/>
      <c r="C630" s="4"/>
      <c r="D630" s="4"/>
      <c r="E630" s="33"/>
    </row>
    <row r="631">
      <c r="A631" s="20"/>
      <c r="B631" s="20"/>
      <c r="C631" s="4"/>
      <c r="D631" s="4"/>
      <c r="E631" s="33"/>
    </row>
    <row r="632">
      <c r="A632" s="20"/>
      <c r="B632" s="20"/>
      <c r="C632" s="4"/>
      <c r="D632" s="4"/>
      <c r="E632" s="33"/>
    </row>
    <row r="633">
      <c r="A633" s="20"/>
      <c r="B633" s="20"/>
      <c r="C633" s="4"/>
      <c r="D633" s="4"/>
      <c r="E633" s="33"/>
    </row>
    <row r="634">
      <c r="A634" s="20"/>
      <c r="B634" s="20"/>
      <c r="C634" s="4"/>
      <c r="D634" s="4"/>
      <c r="E634" s="33"/>
    </row>
    <row r="635">
      <c r="A635" s="20"/>
      <c r="B635" s="20"/>
      <c r="C635" s="4"/>
      <c r="D635" s="4"/>
      <c r="E635" s="33"/>
    </row>
    <row r="636">
      <c r="A636" s="20"/>
      <c r="B636" s="20"/>
      <c r="C636" s="4"/>
      <c r="D636" s="4"/>
      <c r="E636" s="33"/>
    </row>
    <row r="637">
      <c r="A637" s="20"/>
      <c r="B637" s="20"/>
      <c r="C637" s="4"/>
      <c r="D637" s="4"/>
      <c r="E637" s="33"/>
    </row>
    <row r="638">
      <c r="A638" s="20"/>
      <c r="B638" s="20"/>
      <c r="C638" s="4"/>
      <c r="D638" s="4"/>
      <c r="E638" s="33"/>
    </row>
    <row r="639">
      <c r="A639" s="20"/>
      <c r="B639" s="20"/>
      <c r="C639" s="4"/>
      <c r="D639" s="4"/>
      <c r="E639" s="33"/>
    </row>
    <row r="640">
      <c r="A640" s="20"/>
      <c r="B640" s="20"/>
      <c r="C640" s="4"/>
      <c r="D640" s="4"/>
      <c r="E640" s="33"/>
    </row>
    <row r="641">
      <c r="A641" s="20"/>
      <c r="B641" s="20"/>
      <c r="C641" s="4"/>
      <c r="D641" s="4"/>
      <c r="E641" s="33"/>
    </row>
    <row r="642">
      <c r="A642" s="20"/>
      <c r="B642" s="20"/>
      <c r="C642" s="4"/>
      <c r="D642" s="4"/>
      <c r="E642" s="33"/>
    </row>
    <row r="643">
      <c r="A643" s="20"/>
      <c r="B643" s="20"/>
      <c r="C643" s="4"/>
      <c r="D643" s="4"/>
      <c r="E643" s="33"/>
    </row>
    <row r="644">
      <c r="A644" s="20"/>
      <c r="B644" s="20"/>
      <c r="C644" s="4"/>
      <c r="D644" s="4"/>
      <c r="E644" s="33"/>
    </row>
    <row r="645">
      <c r="A645" s="20"/>
      <c r="B645" s="20"/>
      <c r="C645" s="4"/>
      <c r="D645" s="4"/>
      <c r="E645" s="33"/>
    </row>
    <row r="646">
      <c r="A646" s="20"/>
      <c r="B646" s="20"/>
      <c r="C646" s="4"/>
      <c r="D646" s="4"/>
      <c r="E646" s="33"/>
    </row>
    <row r="647">
      <c r="A647" s="20"/>
      <c r="B647" s="20"/>
      <c r="C647" s="4"/>
      <c r="D647" s="4"/>
      <c r="E647" s="33"/>
    </row>
    <row r="648">
      <c r="A648" s="20"/>
      <c r="B648" s="20"/>
      <c r="C648" s="4"/>
      <c r="D648" s="4"/>
      <c r="E648" s="33"/>
    </row>
    <row r="649">
      <c r="A649" s="20"/>
      <c r="B649" s="20"/>
      <c r="C649" s="4"/>
      <c r="D649" s="4"/>
      <c r="E649" s="33"/>
    </row>
    <row r="650">
      <c r="A650" s="20"/>
      <c r="B650" s="20"/>
      <c r="C650" s="4"/>
      <c r="D650" s="4"/>
      <c r="E650" s="33"/>
    </row>
    <row r="651">
      <c r="A651" s="20"/>
      <c r="B651" s="20"/>
      <c r="C651" s="4"/>
      <c r="D651" s="4"/>
      <c r="E651" s="33"/>
    </row>
    <row r="652">
      <c r="A652" s="20"/>
      <c r="B652" s="20"/>
      <c r="C652" s="4"/>
      <c r="D652" s="4"/>
      <c r="E652" s="33"/>
    </row>
    <row r="653">
      <c r="A653" s="20"/>
      <c r="B653" s="20"/>
      <c r="C653" s="4"/>
      <c r="D653" s="4"/>
      <c r="E653" s="33"/>
    </row>
    <row r="654">
      <c r="A654" s="20"/>
      <c r="B654" s="20"/>
      <c r="C654" s="4"/>
      <c r="D654" s="4"/>
      <c r="E654" s="33"/>
    </row>
    <row r="655">
      <c r="A655" s="20"/>
      <c r="B655" s="20"/>
      <c r="C655" s="4"/>
      <c r="D655" s="4"/>
      <c r="E655" s="33"/>
    </row>
    <row r="656">
      <c r="A656" s="20"/>
      <c r="B656" s="20"/>
      <c r="C656" s="4"/>
      <c r="D656" s="4"/>
      <c r="E656" s="33"/>
    </row>
    <row r="657">
      <c r="A657" s="20"/>
      <c r="B657" s="20"/>
      <c r="C657" s="4"/>
      <c r="D657" s="4"/>
      <c r="E657" s="33"/>
    </row>
    <row r="658">
      <c r="A658" s="20"/>
      <c r="B658" s="20"/>
      <c r="C658" s="4"/>
      <c r="D658" s="4"/>
      <c r="E658" s="33"/>
    </row>
    <row r="659">
      <c r="A659" s="20"/>
      <c r="B659" s="20"/>
      <c r="C659" s="4"/>
      <c r="D659" s="4"/>
      <c r="E659" s="33"/>
    </row>
    <row r="660">
      <c r="A660" s="20"/>
      <c r="B660" s="20"/>
      <c r="C660" s="4"/>
      <c r="D660" s="4"/>
      <c r="E660" s="33"/>
    </row>
    <row r="661">
      <c r="A661" s="20"/>
      <c r="B661" s="20"/>
      <c r="C661" s="4"/>
      <c r="D661" s="4"/>
      <c r="E661" s="33"/>
    </row>
    <row r="662">
      <c r="A662" s="20"/>
      <c r="B662" s="20"/>
      <c r="C662" s="4"/>
      <c r="D662" s="4"/>
      <c r="E662" s="33"/>
    </row>
    <row r="663">
      <c r="A663" s="20"/>
      <c r="B663" s="20"/>
      <c r="C663" s="4"/>
      <c r="D663" s="4"/>
      <c r="E663" s="33"/>
    </row>
    <row r="664">
      <c r="A664" s="20"/>
      <c r="B664" s="20"/>
      <c r="C664" s="4"/>
      <c r="D664" s="4"/>
      <c r="E664" s="33"/>
    </row>
    <row r="665">
      <c r="A665" s="20"/>
      <c r="B665" s="20"/>
      <c r="C665" s="4"/>
      <c r="D665" s="4"/>
      <c r="E665" s="33"/>
    </row>
    <row r="666">
      <c r="A666" s="20"/>
      <c r="B666" s="20"/>
      <c r="C666" s="4"/>
      <c r="D666" s="4"/>
      <c r="E666" s="33"/>
    </row>
    <row r="667">
      <c r="A667" s="20"/>
      <c r="B667" s="20"/>
      <c r="C667" s="4"/>
      <c r="D667" s="4"/>
      <c r="E667" s="33"/>
    </row>
    <row r="668">
      <c r="A668" s="20"/>
      <c r="B668" s="20"/>
      <c r="C668" s="4"/>
      <c r="D668" s="4"/>
      <c r="E668" s="33"/>
    </row>
    <row r="669">
      <c r="A669" s="20"/>
      <c r="B669" s="20"/>
      <c r="C669" s="4"/>
      <c r="D669" s="4"/>
      <c r="E669" s="33"/>
    </row>
    <row r="670">
      <c r="A670" s="20"/>
      <c r="B670" s="20"/>
      <c r="C670" s="4"/>
      <c r="D670" s="4"/>
      <c r="E670" s="33"/>
    </row>
    <row r="671">
      <c r="A671" s="20"/>
      <c r="B671" s="20"/>
      <c r="C671" s="4"/>
      <c r="D671" s="4"/>
      <c r="E671" s="33"/>
    </row>
    <row r="672">
      <c r="A672" s="20"/>
      <c r="B672" s="20"/>
      <c r="C672" s="4"/>
      <c r="D672" s="4"/>
      <c r="E672" s="33"/>
    </row>
    <row r="673">
      <c r="A673" s="20"/>
      <c r="B673" s="20"/>
      <c r="C673" s="4"/>
      <c r="D673" s="4"/>
      <c r="E673" s="33"/>
    </row>
    <row r="674">
      <c r="A674" s="20"/>
      <c r="B674" s="20"/>
      <c r="C674" s="4"/>
      <c r="D674" s="4"/>
      <c r="E674" s="33"/>
    </row>
    <row r="675">
      <c r="A675" s="20"/>
      <c r="B675" s="20"/>
      <c r="C675" s="4"/>
      <c r="D675" s="4"/>
      <c r="E675" s="33"/>
    </row>
    <row r="676">
      <c r="A676" s="20"/>
      <c r="B676" s="20"/>
      <c r="C676" s="4"/>
      <c r="D676" s="4"/>
      <c r="E676" s="33"/>
    </row>
    <row r="677">
      <c r="A677" s="20"/>
      <c r="B677" s="20"/>
      <c r="C677" s="4"/>
      <c r="D677" s="4"/>
      <c r="E677" s="33"/>
    </row>
    <row r="678">
      <c r="A678" s="20"/>
      <c r="B678" s="20"/>
      <c r="C678" s="4"/>
      <c r="D678" s="4"/>
      <c r="E678" s="33"/>
    </row>
    <row r="679">
      <c r="A679" s="20"/>
      <c r="B679" s="20"/>
      <c r="C679" s="4"/>
      <c r="D679" s="4"/>
      <c r="E679" s="33"/>
    </row>
    <row r="680">
      <c r="A680" s="20"/>
      <c r="B680" s="20"/>
      <c r="C680" s="4"/>
      <c r="D680" s="4"/>
      <c r="E680" s="33"/>
    </row>
    <row r="681">
      <c r="A681" s="20"/>
      <c r="B681" s="20"/>
      <c r="C681" s="4"/>
      <c r="D681" s="4"/>
      <c r="E681" s="33"/>
    </row>
    <row r="682">
      <c r="A682" s="20"/>
      <c r="B682" s="20"/>
      <c r="C682" s="4"/>
      <c r="D682" s="4"/>
      <c r="E682" s="33"/>
    </row>
    <row r="683">
      <c r="A683" s="20"/>
      <c r="B683" s="20"/>
      <c r="C683" s="4"/>
      <c r="D683" s="4"/>
      <c r="E683" s="33"/>
    </row>
    <row r="684">
      <c r="A684" s="20"/>
      <c r="B684" s="20"/>
      <c r="C684" s="4"/>
      <c r="D684" s="4"/>
      <c r="E684" s="33"/>
    </row>
    <row r="685">
      <c r="A685" s="20"/>
      <c r="B685" s="20"/>
      <c r="C685" s="4"/>
      <c r="D685" s="4"/>
      <c r="E685" s="33"/>
    </row>
    <row r="686">
      <c r="A686" s="20"/>
      <c r="B686" s="20"/>
      <c r="C686" s="4"/>
      <c r="D686" s="4"/>
      <c r="E686" s="33"/>
    </row>
    <row r="687">
      <c r="A687" s="20"/>
      <c r="B687" s="20"/>
      <c r="C687" s="4"/>
      <c r="D687" s="4"/>
      <c r="E687" s="33"/>
    </row>
    <row r="688">
      <c r="A688" s="20"/>
      <c r="B688" s="20"/>
      <c r="C688" s="4"/>
      <c r="D688" s="4"/>
      <c r="E688" s="33"/>
    </row>
    <row r="689">
      <c r="A689" s="20"/>
      <c r="B689" s="20"/>
      <c r="C689" s="4"/>
      <c r="D689" s="4"/>
      <c r="E689" s="33"/>
    </row>
    <row r="690">
      <c r="A690" s="20"/>
      <c r="B690" s="20"/>
      <c r="C690" s="4"/>
      <c r="D690" s="4"/>
      <c r="E690" s="33"/>
    </row>
    <row r="691">
      <c r="A691" s="20"/>
      <c r="B691" s="20"/>
      <c r="C691" s="4"/>
      <c r="D691" s="4"/>
      <c r="E691" s="33"/>
    </row>
    <row r="692">
      <c r="A692" s="20"/>
      <c r="B692" s="20"/>
      <c r="C692" s="4"/>
      <c r="D692" s="4"/>
      <c r="E692" s="33"/>
    </row>
    <row r="693">
      <c r="A693" s="20"/>
      <c r="B693" s="20"/>
      <c r="C693" s="4"/>
      <c r="D693" s="4"/>
      <c r="E693" s="33"/>
    </row>
    <row r="694">
      <c r="A694" s="20"/>
      <c r="B694" s="20"/>
      <c r="C694" s="4"/>
      <c r="D694" s="4"/>
      <c r="E694" s="33"/>
    </row>
    <row r="695">
      <c r="A695" s="20"/>
      <c r="B695" s="20"/>
      <c r="C695" s="4"/>
      <c r="D695" s="4"/>
      <c r="E695" s="33"/>
    </row>
    <row r="696">
      <c r="A696" s="20"/>
      <c r="B696" s="20"/>
      <c r="C696" s="4"/>
      <c r="D696" s="4"/>
      <c r="E696" s="33"/>
    </row>
    <row r="697">
      <c r="A697" s="20"/>
      <c r="B697" s="20"/>
      <c r="C697" s="4"/>
      <c r="D697" s="4"/>
      <c r="E697" s="33"/>
    </row>
    <row r="698">
      <c r="A698" s="20"/>
      <c r="B698" s="20"/>
      <c r="C698" s="4"/>
      <c r="D698" s="4"/>
      <c r="E698" s="33"/>
    </row>
    <row r="699">
      <c r="A699" s="20"/>
      <c r="B699" s="20"/>
      <c r="C699" s="4"/>
      <c r="D699" s="4"/>
      <c r="E699" s="33"/>
    </row>
    <row r="700">
      <c r="A700" s="20"/>
      <c r="B700" s="20"/>
      <c r="C700" s="4"/>
      <c r="D700" s="4"/>
      <c r="E700" s="33"/>
    </row>
    <row r="701">
      <c r="A701" s="20"/>
      <c r="B701" s="20"/>
      <c r="C701" s="4"/>
      <c r="D701" s="4"/>
      <c r="E701" s="33"/>
    </row>
    <row r="702">
      <c r="A702" s="20"/>
      <c r="B702" s="20"/>
      <c r="C702" s="4"/>
      <c r="D702" s="4"/>
      <c r="E702" s="33"/>
    </row>
    <row r="703">
      <c r="A703" s="20"/>
      <c r="B703" s="20"/>
      <c r="C703" s="4"/>
      <c r="D703" s="4"/>
      <c r="E703" s="33"/>
    </row>
    <row r="704">
      <c r="A704" s="20"/>
      <c r="B704" s="20"/>
      <c r="C704" s="4"/>
      <c r="D704" s="4"/>
      <c r="E704" s="33"/>
    </row>
    <row r="705">
      <c r="A705" s="20"/>
      <c r="B705" s="20"/>
      <c r="C705" s="4"/>
      <c r="D705" s="4"/>
      <c r="E705" s="33"/>
    </row>
    <row r="706">
      <c r="A706" s="20"/>
      <c r="B706" s="20"/>
      <c r="C706" s="4"/>
      <c r="D706" s="4"/>
      <c r="E706" s="33"/>
    </row>
    <row r="707">
      <c r="A707" s="20"/>
      <c r="B707" s="20"/>
      <c r="C707" s="4"/>
      <c r="D707" s="4"/>
      <c r="E707" s="33"/>
    </row>
    <row r="708">
      <c r="A708" s="20"/>
      <c r="B708" s="20"/>
      <c r="C708" s="4"/>
      <c r="D708" s="4"/>
      <c r="E708" s="33"/>
    </row>
    <row r="709">
      <c r="A709" s="20"/>
      <c r="B709" s="20"/>
      <c r="C709" s="4"/>
      <c r="D709" s="4"/>
      <c r="E709" s="33"/>
    </row>
    <row r="710">
      <c r="A710" s="20"/>
      <c r="B710" s="20"/>
      <c r="C710" s="4"/>
      <c r="D710" s="4"/>
      <c r="E710" s="33"/>
    </row>
    <row r="711">
      <c r="A711" s="20"/>
      <c r="B711" s="20"/>
      <c r="C711" s="4"/>
      <c r="D711" s="4"/>
      <c r="E711" s="33"/>
    </row>
    <row r="712">
      <c r="A712" s="20"/>
      <c r="B712" s="20"/>
      <c r="C712" s="4"/>
      <c r="D712" s="4"/>
      <c r="E712" s="33"/>
    </row>
    <row r="713">
      <c r="A713" s="20"/>
      <c r="B713" s="20"/>
      <c r="C713" s="4"/>
      <c r="D713" s="4"/>
      <c r="E713" s="33"/>
    </row>
    <row r="714">
      <c r="A714" s="20"/>
      <c r="B714" s="20"/>
      <c r="C714" s="4"/>
      <c r="D714" s="4"/>
      <c r="E714" s="33"/>
    </row>
    <row r="715">
      <c r="A715" s="20"/>
      <c r="B715" s="20"/>
      <c r="C715" s="4"/>
      <c r="D715" s="4"/>
      <c r="E715" s="33"/>
    </row>
    <row r="716">
      <c r="A716" s="20"/>
      <c r="B716" s="20"/>
      <c r="C716" s="4"/>
      <c r="D716" s="4"/>
      <c r="E716" s="33"/>
    </row>
    <row r="717">
      <c r="A717" s="20"/>
      <c r="B717" s="20"/>
      <c r="C717" s="4"/>
      <c r="D717" s="4"/>
      <c r="E717" s="33"/>
    </row>
    <row r="718">
      <c r="A718" s="20"/>
      <c r="B718" s="20"/>
      <c r="C718" s="4"/>
      <c r="D718" s="4"/>
      <c r="E718" s="33"/>
    </row>
    <row r="719">
      <c r="A719" s="20"/>
      <c r="B719" s="20"/>
      <c r="C719" s="4"/>
      <c r="D719" s="4"/>
      <c r="E719" s="33"/>
    </row>
    <row r="720">
      <c r="A720" s="20"/>
      <c r="B720" s="20"/>
      <c r="C720" s="4"/>
      <c r="D720" s="4"/>
      <c r="E720" s="33"/>
    </row>
    <row r="721">
      <c r="A721" s="20"/>
      <c r="B721" s="20"/>
      <c r="C721" s="4"/>
      <c r="D721" s="4"/>
      <c r="E721" s="33"/>
    </row>
    <row r="722">
      <c r="A722" s="20"/>
      <c r="B722" s="20"/>
      <c r="C722" s="4"/>
      <c r="D722" s="4"/>
      <c r="E722" s="33"/>
    </row>
    <row r="723">
      <c r="A723" s="20"/>
      <c r="B723" s="20"/>
      <c r="C723" s="4"/>
      <c r="D723" s="4"/>
      <c r="E723" s="33"/>
    </row>
    <row r="724">
      <c r="A724" s="20"/>
      <c r="B724" s="20"/>
      <c r="C724" s="4"/>
      <c r="D724" s="4"/>
      <c r="E724" s="33"/>
    </row>
    <row r="725">
      <c r="A725" s="20"/>
      <c r="B725" s="20"/>
      <c r="C725" s="4"/>
      <c r="D725" s="4"/>
      <c r="E725" s="33"/>
    </row>
    <row r="726">
      <c r="A726" s="20"/>
      <c r="B726" s="20"/>
      <c r="C726" s="4"/>
      <c r="D726" s="4"/>
      <c r="E726" s="33"/>
    </row>
    <row r="727">
      <c r="A727" s="20"/>
      <c r="B727" s="20"/>
      <c r="C727" s="4"/>
      <c r="D727" s="4"/>
      <c r="E727" s="33"/>
    </row>
    <row r="728">
      <c r="A728" s="20"/>
      <c r="B728" s="20"/>
      <c r="C728" s="4"/>
      <c r="D728" s="4"/>
      <c r="E728" s="33"/>
    </row>
    <row r="729">
      <c r="A729" s="20"/>
      <c r="B729" s="20"/>
      <c r="C729" s="4"/>
      <c r="D729" s="4"/>
      <c r="E729" s="33"/>
    </row>
    <row r="730">
      <c r="A730" s="20"/>
      <c r="B730" s="20"/>
      <c r="C730" s="4"/>
      <c r="D730" s="4"/>
      <c r="E730" s="33"/>
    </row>
    <row r="731">
      <c r="A731" s="20"/>
      <c r="B731" s="20"/>
      <c r="C731" s="4"/>
      <c r="D731" s="4"/>
      <c r="E731" s="33"/>
    </row>
    <row r="732">
      <c r="A732" s="20"/>
      <c r="B732" s="20"/>
      <c r="C732" s="4"/>
      <c r="D732" s="4"/>
      <c r="E732" s="33"/>
    </row>
    <row r="733">
      <c r="A733" s="20"/>
      <c r="B733" s="20"/>
      <c r="C733" s="4"/>
      <c r="D733" s="4"/>
      <c r="E733" s="33"/>
    </row>
    <row r="734">
      <c r="A734" s="20"/>
      <c r="B734" s="20"/>
      <c r="C734" s="4"/>
      <c r="D734" s="4"/>
      <c r="E734" s="33"/>
    </row>
    <row r="735">
      <c r="A735" s="20"/>
      <c r="B735" s="20"/>
      <c r="C735" s="4"/>
      <c r="D735" s="4"/>
      <c r="E735" s="33"/>
    </row>
    <row r="736">
      <c r="A736" s="20"/>
      <c r="B736" s="20"/>
      <c r="C736" s="4"/>
      <c r="D736" s="4"/>
      <c r="E736" s="33"/>
    </row>
    <row r="737">
      <c r="A737" s="20"/>
      <c r="B737" s="20"/>
      <c r="C737" s="4"/>
      <c r="D737" s="4"/>
      <c r="E737" s="33"/>
    </row>
    <row r="738">
      <c r="A738" s="20"/>
      <c r="B738" s="20"/>
      <c r="C738" s="4"/>
      <c r="D738" s="4"/>
      <c r="E738" s="33"/>
    </row>
    <row r="739">
      <c r="A739" s="20"/>
      <c r="B739" s="20"/>
      <c r="C739" s="4"/>
      <c r="D739" s="4"/>
      <c r="E739" s="33"/>
    </row>
    <row r="740">
      <c r="A740" s="20"/>
      <c r="B740" s="20"/>
      <c r="C740" s="4"/>
      <c r="D740" s="4"/>
      <c r="E740" s="33"/>
    </row>
    <row r="741">
      <c r="A741" s="20"/>
      <c r="B741" s="20"/>
      <c r="C741" s="4"/>
      <c r="D741" s="4"/>
      <c r="E741" s="33"/>
    </row>
    <row r="742">
      <c r="A742" s="20"/>
      <c r="B742" s="20"/>
      <c r="C742" s="4"/>
      <c r="D742" s="4"/>
      <c r="E742" s="33"/>
    </row>
    <row r="743">
      <c r="A743" s="20"/>
      <c r="B743" s="20"/>
      <c r="C743" s="4"/>
      <c r="D743" s="4"/>
      <c r="E743" s="33"/>
    </row>
    <row r="744">
      <c r="A744" s="20"/>
      <c r="B744" s="20"/>
      <c r="C744" s="4"/>
      <c r="D744" s="4"/>
      <c r="E744" s="33"/>
    </row>
    <row r="745">
      <c r="A745" s="20"/>
      <c r="B745" s="20"/>
      <c r="C745" s="4"/>
      <c r="D745" s="4"/>
      <c r="E745" s="33"/>
    </row>
    <row r="746">
      <c r="A746" s="20"/>
      <c r="B746" s="20"/>
      <c r="C746" s="4"/>
      <c r="D746" s="4"/>
      <c r="E746" s="33"/>
    </row>
    <row r="747">
      <c r="A747" s="20"/>
      <c r="B747" s="20"/>
      <c r="C747" s="4"/>
      <c r="D747" s="4"/>
      <c r="E747" s="33"/>
    </row>
    <row r="748">
      <c r="A748" s="20"/>
      <c r="B748" s="20"/>
      <c r="C748" s="4"/>
      <c r="D748" s="4"/>
      <c r="E748" s="33"/>
    </row>
    <row r="749">
      <c r="A749" s="20"/>
      <c r="B749" s="20"/>
      <c r="C749" s="4"/>
      <c r="D749" s="4"/>
      <c r="E749" s="33"/>
    </row>
    <row r="750">
      <c r="A750" s="20"/>
      <c r="B750" s="20"/>
      <c r="C750" s="4"/>
      <c r="D750" s="4"/>
      <c r="E750" s="33"/>
    </row>
    <row r="751">
      <c r="A751" s="20"/>
      <c r="B751" s="20"/>
      <c r="C751" s="4"/>
      <c r="D751" s="4"/>
      <c r="E751" s="33"/>
    </row>
    <row r="752">
      <c r="A752" s="20"/>
      <c r="B752" s="20"/>
      <c r="C752" s="4"/>
      <c r="D752" s="4"/>
      <c r="E752" s="33"/>
    </row>
    <row r="753">
      <c r="A753" s="20"/>
      <c r="B753" s="20"/>
      <c r="C753" s="4"/>
      <c r="D753" s="4"/>
      <c r="E753" s="33"/>
    </row>
    <row r="754">
      <c r="A754" s="20"/>
      <c r="B754" s="20"/>
      <c r="C754" s="4"/>
      <c r="D754" s="4"/>
      <c r="E754" s="33"/>
    </row>
    <row r="755">
      <c r="A755" s="20"/>
      <c r="B755" s="20"/>
      <c r="C755" s="4"/>
      <c r="D755" s="4"/>
      <c r="E755" s="33"/>
    </row>
    <row r="756">
      <c r="A756" s="20"/>
      <c r="B756" s="20"/>
      <c r="C756" s="4"/>
      <c r="D756" s="4"/>
      <c r="E756" s="33"/>
    </row>
    <row r="757">
      <c r="A757" s="20"/>
      <c r="B757" s="20"/>
      <c r="C757" s="4"/>
      <c r="D757" s="4"/>
      <c r="E757" s="33"/>
    </row>
    <row r="758">
      <c r="A758" s="20"/>
      <c r="B758" s="20"/>
      <c r="C758" s="4"/>
      <c r="D758" s="4"/>
      <c r="E758" s="33"/>
    </row>
    <row r="759">
      <c r="A759" s="20"/>
      <c r="B759" s="20"/>
      <c r="C759" s="4"/>
      <c r="D759" s="4"/>
      <c r="E759" s="33"/>
    </row>
    <row r="760">
      <c r="A760" s="20"/>
      <c r="B760" s="20"/>
      <c r="C760" s="4"/>
      <c r="D760" s="4"/>
      <c r="E760" s="33"/>
    </row>
    <row r="761">
      <c r="A761" s="20"/>
      <c r="B761" s="20"/>
      <c r="C761" s="4"/>
      <c r="D761" s="4"/>
      <c r="E761" s="33"/>
    </row>
    <row r="762">
      <c r="A762" s="20"/>
      <c r="B762" s="20"/>
      <c r="C762" s="4"/>
      <c r="D762" s="4"/>
      <c r="E762" s="33"/>
    </row>
    <row r="763">
      <c r="A763" s="20"/>
      <c r="B763" s="20"/>
      <c r="C763" s="4"/>
      <c r="D763" s="4"/>
      <c r="E763" s="33"/>
    </row>
    <row r="764">
      <c r="A764" s="20"/>
      <c r="B764" s="20"/>
      <c r="C764" s="4"/>
      <c r="D764" s="4"/>
      <c r="E764" s="33"/>
    </row>
    <row r="765">
      <c r="A765" s="20"/>
      <c r="B765" s="20"/>
      <c r="C765" s="4"/>
      <c r="D765" s="4"/>
      <c r="E765" s="33"/>
    </row>
    <row r="766">
      <c r="A766" s="20"/>
      <c r="B766" s="20"/>
      <c r="C766" s="4"/>
      <c r="D766" s="4"/>
      <c r="E766" s="33"/>
    </row>
    <row r="767">
      <c r="A767" s="20"/>
      <c r="B767" s="20"/>
      <c r="C767" s="4"/>
      <c r="D767" s="4"/>
      <c r="E767" s="33"/>
    </row>
    <row r="768">
      <c r="A768" s="20"/>
      <c r="B768" s="20"/>
      <c r="C768" s="4"/>
      <c r="D768" s="4"/>
      <c r="E768" s="33"/>
    </row>
    <row r="769">
      <c r="A769" s="20"/>
      <c r="B769" s="20"/>
      <c r="C769" s="4"/>
      <c r="D769" s="4"/>
      <c r="E769" s="33"/>
    </row>
    <row r="770">
      <c r="A770" s="20"/>
      <c r="B770" s="20"/>
      <c r="C770" s="4"/>
      <c r="D770" s="4"/>
      <c r="E770" s="33"/>
    </row>
    <row r="771">
      <c r="A771" s="20"/>
      <c r="B771" s="20"/>
      <c r="C771" s="4"/>
      <c r="D771" s="4"/>
      <c r="E771" s="33"/>
    </row>
    <row r="772">
      <c r="A772" s="20"/>
      <c r="B772" s="20"/>
      <c r="C772" s="4"/>
      <c r="D772" s="4"/>
      <c r="E772" s="33"/>
    </row>
    <row r="773">
      <c r="A773" s="20"/>
      <c r="B773" s="20"/>
      <c r="C773" s="4"/>
      <c r="D773" s="4"/>
      <c r="E773" s="33"/>
    </row>
    <row r="774">
      <c r="A774" s="20"/>
      <c r="B774" s="20"/>
      <c r="C774" s="4"/>
      <c r="D774" s="4"/>
      <c r="E774" s="33"/>
    </row>
    <row r="775">
      <c r="A775" s="20"/>
      <c r="B775" s="20"/>
      <c r="C775" s="4"/>
      <c r="D775" s="4"/>
      <c r="E775" s="33"/>
    </row>
    <row r="776">
      <c r="A776" s="20"/>
      <c r="B776" s="20"/>
      <c r="C776" s="4"/>
      <c r="D776" s="4"/>
      <c r="E776" s="33"/>
    </row>
    <row r="777">
      <c r="A777" s="20"/>
      <c r="B777" s="20"/>
      <c r="C777" s="4"/>
      <c r="D777" s="4"/>
      <c r="E777" s="33"/>
    </row>
    <row r="778">
      <c r="A778" s="20"/>
      <c r="B778" s="20"/>
      <c r="C778" s="4"/>
      <c r="D778" s="4"/>
      <c r="E778" s="33"/>
    </row>
    <row r="779">
      <c r="A779" s="20"/>
      <c r="B779" s="20"/>
      <c r="C779" s="4"/>
      <c r="D779" s="4"/>
      <c r="E779" s="33"/>
    </row>
    <row r="780">
      <c r="A780" s="20"/>
      <c r="B780" s="20"/>
      <c r="C780" s="4"/>
      <c r="D780" s="4"/>
      <c r="E780" s="33"/>
    </row>
    <row r="781">
      <c r="A781" s="20"/>
      <c r="B781" s="20"/>
      <c r="C781" s="4"/>
      <c r="D781" s="4"/>
      <c r="E781" s="33"/>
    </row>
    <row r="782">
      <c r="A782" s="20"/>
      <c r="B782" s="20"/>
      <c r="C782" s="4"/>
      <c r="D782" s="4"/>
      <c r="E782" s="33"/>
    </row>
    <row r="783">
      <c r="A783" s="20"/>
      <c r="B783" s="20"/>
      <c r="C783" s="4"/>
      <c r="D783" s="4"/>
      <c r="E783" s="33"/>
    </row>
    <row r="784">
      <c r="A784" s="20"/>
      <c r="B784" s="20"/>
      <c r="C784" s="4"/>
      <c r="D784" s="4"/>
      <c r="E784" s="33"/>
    </row>
    <row r="785">
      <c r="A785" s="20"/>
      <c r="B785" s="20"/>
      <c r="C785" s="4"/>
      <c r="D785" s="4"/>
      <c r="E785" s="33"/>
    </row>
    <row r="786">
      <c r="A786" s="20"/>
      <c r="B786" s="20"/>
      <c r="C786" s="4"/>
      <c r="D786" s="4"/>
      <c r="E786" s="33"/>
    </row>
    <row r="787">
      <c r="A787" s="20"/>
      <c r="B787" s="20"/>
      <c r="C787" s="4"/>
      <c r="D787" s="4"/>
      <c r="E787" s="33"/>
    </row>
    <row r="788">
      <c r="A788" s="20"/>
      <c r="B788" s="20"/>
      <c r="C788" s="4"/>
      <c r="D788" s="4"/>
      <c r="E788" s="33"/>
    </row>
    <row r="789">
      <c r="A789" s="20"/>
      <c r="B789" s="20"/>
      <c r="C789" s="4"/>
      <c r="D789" s="4"/>
      <c r="E789" s="33"/>
    </row>
    <row r="790">
      <c r="A790" s="20"/>
      <c r="B790" s="20"/>
      <c r="C790" s="4"/>
      <c r="D790" s="4"/>
      <c r="E790" s="33"/>
    </row>
    <row r="791">
      <c r="A791" s="20"/>
      <c r="B791" s="20"/>
      <c r="C791" s="4"/>
      <c r="D791" s="4"/>
      <c r="E791" s="33"/>
    </row>
    <row r="792">
      <c r="A792" s="20"/>
      <c r="B792" s="20"/>
      <c r="C792" s="4"/>
      <c r="D792" s="4"/>
      <c r="E792" s="33"/>
    </row>
    <row r="793">
      <c r="A793" s="20"/>
      <c r="B793" s="20"/>
      <c r="C793" s="4"/>
      <c r="D793" s="4"/>
      <c r="E793" s="33"/>
    </row>
    <row r="794">
      <c r="A794" s="20"/>
      <c r="B794" s="20"/>
      <c r="C794" s="4"/>
      <c r="D794" s="4"/>
      <c r="E794" s="33"/>
    </row>
    <row r="795">
      <c r="A795" s="20"/>
      <c r="B795" s="20"/>
      <c r="C795" s="4"/>
      <c r="D795" s="4"/>
      <c r="E795" s="33"/>
    </row>
    <row r="796">
      <c r="A796" s="20"/>
      <c r="B796" s="20"/>
      <c r="C796" s="4"/>
      <c r="D796" s="4"/>
      <c r="E796" s="33"/>
    </row>
    <row r="797">
      <c r="A797" s="20"/>
      <c r="B797" s="20"/>
      <c r="C797" s="4"/>
      <c r="D797" s="4"/>
      <c r="E797" s="33"/>
    </row>
    <row r="798">
      <c r="A798" s="20"/>
      <c r="B798" s="20"/>
      <c r="C798" s="4"/>
      <c r="D798" s="4"/>
      <c r="E798" s="33"/>
    </row>
    <row r="799">
      <c r="A799" s="20"/>
      <c r="B799" s="20"/>
      <c r="C799" s="4"/>
      <c r="D799" s="4"/>
      <c r="E799" s="33"/>
    </row>
    <row r="800">
      <c r="A800" s="20"/>
      <c r="B800" s="20"/>
      <c r="C800" s="4"/>
      <c r="D800" s="4"/>
      <c r="E800" s="33"/>
    </row>
    <row r="801">
      <c r="A801" s="20"/>
      <c r="B801" s="20"/>
      <c r="C801" s="4"/>
      <c r="D801" s="4"/>
      <c r="E801" s="33"/>
    </row>
    <row r="802">
      <c r="A802" s="20"/>
      <c r="B802" s="20"/>
      <c r="C802" s="4"/>
      <c r="D802" s="4"/>
      <c r="E802" s="33"/>
    </row>
    <row r="803">
      <c r="A803" s="20"/>
      <c r="B803" s="20"/>
      <c r="C803" s="4"/>
      <c r="D803" s="4"/>
      <c r="E803" s="33"/>
    </row>
    <row r="804">
      <c r="A804" s="20"/>
      <c r="B804" s="20"/>
      <c r="C804" s="4"/>
      <c r="D804" s="4"/>
      <c r="E804" s="33"/>
    </row>
    <row r="805">
      <c r="A805" s="20"/>
      <c r="B805" s="20"/>
      <c r="C805" s="4"/>
      <c r="D805" s="4"/>
      <c r="E805" s="33"/>
    </row>
    <row r="806">
      <c r="A806" s="20"/>
      <c r="B806" s="20"/>
      <c r="C806" s="4"/>
      <c r="D806" s="4"/>
      <c r="E806" s="33"/>
    </row>
    <row r="807">
      <c r="A807" s="20"/>
      <c r="B807" s="20"/>
      <c r="C807" s="4"/>
      <c r="D807" s="4"/>
      <c r="E807" s="33"/>
    </row>
    <row r="808">
      <c r="A808" s="20"/>
      <c r="B808" s="20"/>
      <c r="C808" s="4"/>
      <c r="D808" s="4"/>
      <c r="E808" s="33"/>
    </row>
    <row r="809">
      <c r="A809" s="20"/>
      <c r="B809" s="20"/>
      <c r="C809" s="4"/>
      <c r="D809" s="4"/>
      <c r="E809" s="33"/>
    </row>
    <row r="810">
      <c r="A810" s="20"/>
      <c r="B810" s="20"/>
      <c r="C810" s="4"/>
      <c r="D810" s="4"/>
      <c r="E810" s="33"/>
    </row>
    <row r="811">
      <c r="A811" s="20"/>
      <c r="B811" s="20"/>
      <c r="C811" s="4"/>
      <c r="D811" s="4"/>
      <c r="E811" s="33"/>
    </row>
    <row r="812">
      <c r="A812" s="20"/>
      <c r="B812" s="20"/>
      <c r="C812" s="4"/>
      <c r="D812" s="4"/>
      <c r="E812" s="33"/>
    </row>
    <row r="813">
      <c r="A813" s="20"/>
      <c r="B813" s="20"/>
      <c r="C813" s="4"/>
      <c r="D813" s="4"/>
      <c r="E813" s="33"/>
    </row>
    <row r="814">
      <c r="A814" s="20"/>
      <c r="B814" s="20"/>
      <c r="C814" s="4"/>
      <c r="D814" s="4"/>
      <c r="E814" s="33"/>
    </row>
    <row r="815">
      <c r="A815" s="20"/>
      <c r="B815" s="20"/>
      <c r="C815" s="4"/>
      <c r="D815" s="4"/>
      <c r="E815" s="33"/>
    </row>
    <row r="816">
      <c r="A816" s="20"/>
      <c r="B816" s="20"/>
      <c r="C816" s="4"/>
      <c r="D816" s="4"/>
      <c r="E816" s="33"/>
    </row>
    <row r="817">
      <c r="A817" s="20"/>
      <c r="B817" s="20"/>
      <c r="C817" s="4"/>
      <c r="D817" s="4"/>
      <c r="E817" s="33"/>
    </row>
    <row r="818">
      <c r="A818" s="20"/>
      <c r="B818" s="20"/>
      <c r="C818" s="4"/>
      <c r="D818" s="4"/>
      <c r="E818" s="33"/>
    </row>
    <row r="819">
      <c r="A819" s="20"/>
      <c r="B819" s="20"/>
      <c r="C819" s="4"/>
      <c r="D819" s="4"/>
      <c r="E819" s="33"/>
    </row>
    <row r="820">
      <c r="A820" s="20"/>
      <c r="B820" s="20"/>
      <c r="C820" s="4"/>
      <c r="D820" s="4"/>
      <c r="E820" s="33"/>
    </row>
    <row r="821">
      <c r="A821" s="20"/>
      <c r="B821" s="20"/>
      <c r="C821" s="4"/>
      <c r="D821" s="4"/>
      <c r="E821" s="33"/>
    </row>
    <row r="822">
      <c r="A822" s="20"/>
      <c r="B822" s="20"/>
      <c r="C822" s="4"/>
      <c r="D822" s="4"/>
      <c r="E822" s="33"/>
    </row>
    <row r="823">
      <c r="A823" s="20"/>
      <c r="B823" s="20"/>
      <c r="C823" s="4"/>
      <c r="D823" s="4"/>
      <c r="E823" s="33"/>
    </row>
    <row r="824">
      <c r="A824" s="20"/>
      <c r="B824" s="20"/>
      <c r="C824" s="4"/>
      <c r="D824" s="4"/>
      <c r="E824" s="33"/>
    </row>
    <row r="825">
      <c r="A825" s="20"/>
      <c r="B825" s="20"/>
      <c r="C825" s="4"/>
      <c r="D825" s="4"/>
      <c r="E825" s="33"/>
    </row>
    <row r="826">
      <c r="A826" s="20"/>
      <c r="B826" s="20"/>
      <c r="C826" s="4"/>
      <c r="D826" s="4"/>
      <c r="E826" s="33"/>
    </row>
    <row r="827">
      <c r="A827" s="20"/>
      <c r="B827" s="20"/>
      <c r="C827" s="4"/>
      <c r="D827" s="4"/>
      <c r="E827" s="33"/>
    </row>
    <row r="828">
      <c r="A828" s="20"/>
      <c r="B828" s="20"/>
      <c r="C828" s="4"/>
      <c r="D828" s="4"/>
      <c r="E828" s="33"/>
    </row>
    <row r="829">
      <c r="A829" s="20"/>
      <c r="B829" s="20"/>
      <c r="C829" s="4"/>
      <c r="D829" s="4"/>
      <c r="E829" s="33"/>
    </row>
    <row r="830">
      <c r="A830" s="20"/>
      <c r="B830" s="20"/>
      <c r="C830" s="4"/>
      <c r="D830" s="4"/>
      <c r="E830" s="33"/>
    </row>
    <row r="831">
      <c r="A831" s="20"/>
      <c r="B831" s="20"/>
      <c r="C831" s="4"/>
      <c r="D831" s="4"/>
      <c r="E831" s="33"/>
    </row>
    <row r="832">
      <c r="A832" s="20"/>
      <c r="B832" s="20"/>
      <c r="C832" s="4"/>
      <c r="D832" s="4"/>
      <c r="E832" s="33"/>
    </row>
    <row r="833">
      <c r="A833" s="20"/>
      <c r="B833" s="20"/>
      <c r="C833" s="4"/>
      <c r="D833" s="4"/>
      <c r="E833" s="33"/>
    </row>
    <row r="834">
      <c r="A834" s="20"/>
      <c r="B834" s="20"/>
      <c r="C834" s="4"/>
      <c r="D834" s="4"/>
      <c r="E834" s="33"/>
    </row>
    <row r="835">
      <c r="A835" s="20"/>
      <c r="B835" s="20"/>
      <c r="C835" s="4"/>
      <c r="D835" s="4"/>
      <c r="E835" s="33"/>
    </row>
    <row r="836">
      <c r="A836" s="20"/>
      <c r="B836" s="20"/>
      <c r="C836" s="4"/>
      <c r="D836" s="4"/>
      <c r="E836" s="33"/>
    </row>
    <row r="837">
      <c r="A837" s="20"/>
      <c r="B837" s="20"/>
      <c r="C837" s="4"/>
      <c r="D837" s="4"/>
      <c r="E837" s="33"/>
    </row>
    <row r="838">
      <c r="A838" s="20"/>
      <c r="B838" s="20"/>
      <c r="C838" s="4"/>
      <c r="D838" s="4"/>
      <c r="E838" s="33"/>
    </row>
    <row r="839">
      <c r="A839" s="20"/>
      <c r="B839" s="20"/>
      <c r="C839" s="4"/>
      <c r="D839" s="4"/>
      <c r="E839" s="33"/>
    </row>
    <row r="840">
      <c r="A840" s="20"/>
      <c r="B840" s="20"/>
      <c r="C840" s="4"/>
      <c r="D840" s="4"/>
      <c r="E840" s="33"/>
    </row>
    <row r="841">
      <c r="A841" s="20"/>
      <c r="B841" s="20"/>
      <c r="C841" s="4"/>
      <c r="D841" s="4"/>
      <c r="E841" s="33"/>
    </row>
    <row r="842">
      <c r="A842" s="20"/>
      <c r="B842" s="20"/>
      <c r="C842" s="4"/>
      <c r="D842" s="4"/>
      <c r="E842" s="33"/>
    </row>
    <row r="843">
      <c r="A843" s="20"/>
      <c r="B843" s="20"/>
      <c r="C843" s="4"/>
      <c r="D843" s="4"/>
      <c r="E843" s="33"/>
    </row>
    <row r="844">
      <c r="A844" s="20"/>
      <c r="B844" s="20"/>
      <c r="C844" s="4"/>
      <c r="D844" s="4"/>
      <c r="E844" s="33"/>
    </row>
    <row r="845">
      <c r="A845" s="20"/>
      <c r="B845" s="20"/>
      <c r="C845" s="4"/>
      <c r="D845" s="4"/>
      <c r="E845" s="33"/>
    </row>
    <row r="846">
      <c r="A846" s="20"/>
      <c r="B846" s="20"/>
      <c r="C846" s="4"/>
      <c r="D846" s="4"/>
      <c r="E846" s="33"/>
    </row>
    <row r="847">
      <c r="A847" s="20"/>
      <c r="B847" s="20"/>
      <c r="C847" s="4"/>
      <c r="D847" s="4"/>
      <c r="E847" s="33"/>
    </row>
    <row r="848">
      <c r="A848" s="20"/>
      <c r="B848" s="20"/>
      <c r="C848" s="4"/>
      <c r="D848" s="4"/>
      <c r="E848" s="33"/>
    </row>
    <row r="849">
      <c r="A849" s="20"/>
      <c r="B849" s="20"/>
      <c r="C849" s="4"/>
      <c r="D849" s="4"/>
      <c r="E849" s="33"/>
    </row>
    <row r="850">
      <c r="A850" s="20"/>
      <c r="B850" s="20"/>
      <c r="C850" s="4"/>
      <c r="D850" s="4"/>
      <c r="E850" s="33"/>
    </row>
    <row r="851">
      <c r="A851" s="20"/>
      <c r="B851" s="20"/>
      <c r="C851" s="4"/>
      <c r="D851" s="4"/>
      <c r="E851" s="33"/>
    </row>
    <row r="852">
      <c r="A852" s="20"/>
      <c r="B852" s="20"/>
      <c r="C852" s="4"/>
      <c r="D852" s="4"/>
      <c r="E852" s="33"/>
    </row>
    <row r="853">
      <c r="A853" s="20"/>
      <c r="B853" s="20"/>
      <c r="C853" s="4"/>
      <c r="D853" s="4"/>
      <c r="E853" s="33"/>
    </row>
    <row r="854">
      <c r="A854" s="20"/>
      <c r="B854" s="20"/>
      <c r="C854" s="4"/>
      <c r="D854" s="4"/>
      <c r="E854" s="33"/>
    </row>
    <row r="855">
      <c r="A855" s="20"/>
      <c r="B855" s="20"/>
      <c r="C855" s="4"/>
      <c r="D855" s="4"/>
      <c r="E855" s="33"/>
    </row>
    <row r="856">
      <c r="A856" s="20"/>
      <c r="B856" s="20"/>
      <c r="C856" s="4"/>
      <c r="D856" s="4"/>
      <c r="E856" s="33"/>
    </row>
    <row r="857">
      <c r="A857" s="20"/>
      <c r="B857" s="20"/>
      <c r="C857" s="4"/>
      <c r="D857" s="4"/>
      <c r="E857" s="33"/>
    </row>
    <row r="858">
      <c r="A858" s="20"/>
      <c r="B858" s="20"/>
      <c r="C858" s="4"/>
      <c r="D858" s="4"/>
      <c r="E858" s="33"/>
    </row>
    <row r="859">
      <c r="A859" s="20"/>
      <c r="B859" s="20"/>
      <c r="C859" s="4"/>
      <c r="D859" s="4"/>
      <c r="E859" s="33"/>
    </row>
    <row r="860">
      <c r="A860" s="20"/>
      <c r="B860" s="20"/>
      <c r="C860" s="4"/>
      <c r="D860" s="4"/>
      <c r="E860" s="33"/>
    </row>
    <row r="861">
      <c r="A861" s="20"/>
      <c r="B861" s="20"/>
      <c r="C861" s="4"/>
      <c r="D861" s="4"/>
      <c r="E861" s="33"/>
    </row>
    <row r="862">
      <c r="A862" s="20"/>
      <c r="B862" s="20"/>
      <c r="C862" s="4"/>
      <c r="D862" s="4"/>
      <c r="E862" s="33"/>
    </row>
    <row r="863">
      <c r="A863" s="20"/>
      <c r="B863" s="20"/>
      <c r="C863" s="4"/>
      <c r="D863" s="4"/>
      <c r="E863" s="33"/>
    </row>
    <row r="864">
      <c r="A864" s="20"/>
      <c r="B864" s="20"/>
      <c r="C864" s="4"/>
      <c r="D864" s="4"/>
      <c r="E864" s="33"/>
    </row>
    <row r="865">
      <c r="A865" s="20"/>
      <c r="B865" s="20"/>
      <c r="C865" s="4"/>
      <c r="D865" s="4"/>
      <c r="E865" s="33"/>
    </row>
    <row r="866">
      <c r="A866" s="20"/>
      <c r="B866" s="20"/>
      <c r="C866" s="4"/>
      <c r="D866" s="4"/>
      <c r="E866" s="33"/>
    </row>
    <row r="867">
      <c r="A867" s="20"/>
      <c r="B867" s="20"/>
      <c r="C867" s="4"/>
      <c r="D867" s="4"/>
      <c r="E867" s="33"/>
    </row>
    <row r="868">
      <c r="A868" s="20"/>
      <c r="B868" s="20"/>
      <c r="C868" s="4"/>
      <c r="D868" s="4"/>
      <c r="E868" s="33"/>
    </row>
    <row r="869">
      <c r="A869" s="20"/>
      <c r="B869" s="20"/>
      <c r="C869" s="4"/>
      <c r="D869" s="4"/>
      <c r="E869" s="33"/>
    </row>
    <row r="870">
      <c r="A870" s="20"/>
      <c r="B870" s="20"/>
      <c r="C870" s="4"/>
      <c r="D870" s="4"/>
      <c r="E870" s="33"/>
    </row>
    <row r="871">
      <c r="A871" s="20"/>
      <c r="B871" s="20"/>
      <c r="C871" s="4"/>
      <c r="D871" s="4"/>
      <c r="E871" s="33"/>
    </row>
    <row r="872">
      <c r="A872" s="20"/>
      <c r="B872" s="20"/>
      <c r="C872" s="4"/>
      <c r="D872" s="4"/>
      <c r="E872" s="33"/>
    </row>
    <row r="873">
      <c r="A873" s="20"/>
      <c r="B873" s="20"/>
      <c r="C873" s="4"/>
      <c r="D873" s="4"/>
      <c r="E873" s="33"/>
    </row>
    <row r="874">
      <c r="A874" s="20"/>
      <c r="B874" s="20"/>
      <c r="C874" s="4"/>
      <c r="D874" s="4"/>
      <c r="E874" s="33"/>
    </row>
    <row r="875">
      <c r="A875" s="20"/>
      <c r="B875" s="20"/>
      <c r="C875" s="4"/>
      <c r="D875" s="4"/>
      <c r="E875" s="33"/>
    </row>
    <row r="876">
      <c r="A876" s="20"/>
      <c r="B876" s="20"/>
      <c r="C876" s="4"/>
      <c r="D876" s="4"/>
      <c r="E876" s="33"/>
    </row>
    <row r="877">
      <c r="A877" s="20"/>
      <c r="B877" s="20"/>
      <c r="C877" s="4"/>
      <c r="D877" s="4"/>
      <c r="E877" s="33"/>
    </row>
    <row r="878">
      <c r="A878" s="20"/>
      <c r="B878" s="20"/>
      <c r="C878" s="4"/>
      <c r="D878" s="4"/>
      <c r="E878" s="33"/>
    </row>
    <row r="879">
      <c r="A879" s="20"/>
      <c r="B879" s="20"/>
      <c r="C879" s="4"/>
      <c r="D879" s="4"/>
      <c r="E879" s="33"/>
    </row>
    <row r="880">
      <c r="A880" s="20"/>
      <c r="B880" s="20"/>
      <c r="C880" s="4"/>
      <c r="D880" s="4"/>
      <c r="E880" s="33"/>
    </row>
    <row r="881">
      <c r="A881" s="20"/>
      <c r="B881" s="20"/>
      <c r="C881" s="4"/>
      <c r="D881" s="4"/>
      <c r="E881" s="33"/>
    </row>
    <row r="882">
      <c r="A882" s="20"/>
      <c r="B882" s="20"/>
      <c r="C882" s="4"/>
      <c r="D882" s="4"/>
      <c r="E882" s="33"/>
    </row>
    <row r="883">
      <c r="A883" s="20"/>
      <c r="B883" s="20"/>
      <c r="C883" s="4"/>
      <c r="D883" s="4"/>
      <c r="E883" s="33"/>
    </row>
    <row r="884">
      <c r="A884" s="20"/>
      <c r="B884" s="20"/>
      <c r="C884" s="4"/>
      <c r="D884" s="4"/>
      <c r="E884" s="33"/>
    </row>
    <row r="885">
      <c r="A885" s="20"/>
      <c r="B885" s="20"/>
      <c r="C885" s="4"/>
      <c r="D885" s="4"/>
      <c r="E885" s="33"/>
    </row>
    <row r="886">
      <c r="A886" s="20"/>
      <c r="B886" s="20"/>
      <c r="C886" s="4"/>
      <c r="D886" s="4"/>
      <c r="E886" s="33"/>
    </row>
    <row r="887">
      <c r="A887" s="20"/>
      <c r="B887" s="20"/>
      <c r="C887" s="4"/>
      <c r="D887" s="4"/>
      <c r="E887" s="33"/>
    </row>
    <row r="888">
      <c r="A888" s="20"/>
      <c r="B888" s="20"/>
      <c r="C888" s="4"/>
      <c r="D888" s="4"/>
      <c r="E888" s="33"/>
    </row>
    <row r="889">
      <c r="A889" s="20"/>
      <c r="B889" s="20"/>
      <c r="C889" s="4"/>
      <c r="D889" s="4"/>
      <c r="E889" s="33"/>
    </row>
    <row r="890">
      <c r="A890" s="20"/>
      <c r="B890" s="20"/>
      <c r="C890" s="4"/>
      <c r="D890" s="4"/>
      <c r="E890" s="33"/>
    </row>
    <row r="891">
      <c r="A891" s="20"/>
      <c r="B891" s="20"/>
      <c r="C891" s="4"/>
      <c r="D891" s="4"/>
      <c r="E891" s="33"/>
    </row>
    <row r="892">
      <c r="A892" s="20"/>
      <c r="B892" s="20"/>
      <c r="C892" s="4"/>
      <c r="D892" s="4"/>
      <c r="E892" s="33"/>
    </row>
    <row r="893">
      <c r="A893" s="20"/>
      <c r="B893" s="20"/>
      <c r="C893" s="4"/>
      <c r="D893" s="4"/>
      <c r="E893" s="33"/>
    </row>
    <row r="894">
      <c r="A894" s="20"/>
      <c r="B894" s="20"/>
      <c r="C894" s="4"/>
      <c r="D894" s="4"/>
      <c r="E894" s="33"/>
    </row>
    <row r="895">
      <c r="A895" s="20"/>
      <c r="B895" s="20"/>
      <c r="C895" s="4"/>
      <c r="D895" s="4"/>
      <c r="E895" s="33"/>
    </row>
    <row r="896">
      <c r="A896" s="20"/>
      <c r="B896" s="20"/>
      <c r="C896" s="4"/>
      <c r="D896" s="4"/>
      <c r="E896" s="33"/>
    </row>
    <row r="897">
      <c r="A897" s="20"/>
      <c r="B897" s="20"/>
      <c r="C897" s="4"/>
      <c r="D897" s="4"/>
      <c r="E897" s="33"/>
    </row>
    <row r="898">
      <c r="A898" s="20"/>
      <c r="B898" s="20"/>
      <c r="C898" s="4"/>
      <c r="D898" s="4"/>
      <c r="E898" s="33"/>
    </row>
    <row r="899">
      <c r="A899" s="20"/>
      <c r="B899" s="20"/>
      <c r="C899" s="4"/>
      <c r="D899" s="4"/>
      <c r="E899" s="33"/>
    </row>
    <row r="900">
      <c r="A900" s="20"/>
      <c r="B900" s="20"/>
      <c r="C900" s="4"/>
      <c r="D900" s="4"/>
      <c r="E900" s="33"/>
    </row>
    <row r="901">
      <c r="A901" s="20"/>
      <c r="B901" s="20"/>
      <c r="C901" s="4"/>
      <c r="D901" s="4"/>
      <c r="E901" s="33"/>
    </row>
    <row r="902">
      <c r="A902" s="20"/>
      <c r="B902" s="20"/>
      <c r="C902" s="4"/>
      <c r="D902" s="4"/>
      <c r="E902" s="33"/>
    </row>
    <row r="903">
      <c r="A903" s="20"/>
      <c r="B903" s="20"/>
      <c r="C903" s="4"/>
      <c r="D903" s="4"/>
      <c r="E903" s="33"/>
    </row>
    <row r="904">
      <c r="A904" s="20"/>
      <c r="B904" s="20"/>
      <c r="C904" s="4"/>
      <c r="D904" s="4"/>
      <c r="E904" s="33"/>
    </row>
    <row r="905">
      <c r="A905" s="20"/>
      <c r="B905" s="20"/>
      <c r="C905" s="4"/>
      <c r="D905" s="4"/>
      <c r="E905" s="33"/>
    </row>
    <row r="906">
      <c r="A906" s="20"/>
      <c r="B906" s="20"/>
      <c r="C906" s="4"/>
      <c r="D906" s="4"/>
      <c r="E906" s="33"/>
    </row>
    <row r="907">
      <c r="A907" s="20"/>
      <c r="B907" s="20"/>
      <c r="C907" s="4"/>
      <c r="D907" s="4"/>
      <c r="E907" s="33"/>
    </row>
    <row r="908">
      <c r="A908" s="20"/>
      <c r="B908" s="20"/>
      <c r="C908" s="4"/>
      <c r="D908" s="4"/>
      <c r="E908" s="33"/>
    </row>
    <row r="909">
      <c r="A909" s="20"/>
      <c r="B909" s="20"/>
      <c r="C909" s="4"/>
      <c r="D909" s="4"/>
      <c r="E909" s="33"/>
    </row>
    <row r="910">
      <c r="A910" s="20"/>
      <c r="B910" s="20"/>
      <c r="C910" s="4"/>
      <c r="D910" s="4"/>
      <c r="E910" s="33"/>
    </row>
    <row r="911">
      <c r="A911" s="20"/>
      <c r="B911" s="20"/>
      <c r="C911" s="4"/>
      <c r="D911" s="4"/>
      <c r="E911" s="33"/>
    </row>
    <row r="912">
      <c r="A912" s="20"/>
      <c r="B912" s="20"/>
      <c r="C912" s="4"/>
      <c r="D912" s="4"/>
      <c r="E912" s="33"/>
    </row>
    <row r="913">
      <c r="A913" s="20"/>
      <c r="B913" s="20"/>
      <c r="C913" s="4"/>
      <c r="D913" s="4"/>
      <c r="E913" s="33"/>
    </row>
    <row r="914">
      <c r="A914" s="20"/>
      <c r="B914" s="20"/>
      <c r="C914" s="4"/>
      <c r="D914" s="4"/>
      <c r="E914" s="33"/>
    </row>
    <row r="915">
      <c r="A915" s="20"/>
      <c r="B915" s="20"/>
      <c r="C915" s="4"/>
      <c r="D915" s="4"/>
      <c r="E915" s="33"/>
    </row>
    <row r="916">
      <c r="A916" s="20"/>
      <c r="B916" s="20"/>
      <c r="C916" s="4"/>
      <c r="D916" s="4"/>
      <c r="E916" s="33"/>
    </row>
    <row r="917">
      <c r="A917" s="20"/>
      <c r="B917" s="20"/>
      <c r="C917" s="4"/>
      <c r="D917" s="4"/>
      <c r="E917" s="33"/>
    </row>
    <row r="918">
      <c r="A918" s="20"/>
      <c r="B918" s="20"/>
      <c r="C918" s="4"/>
      <c r="D918" s="4"/>
      <c r="E918" s="33"/>
    </row>
    <row r="919">
      <c r="A919" s="20"/>
      <c r="B919" s="20"/>
      <c r="C919" s="4"/>
      <c r="D919" s="4"/>
      <c r="E919" s="33"/>
    </row>
    <row r="920">
      <c r="A920" s="20"/>
      <c r="B920" s="20"/>
      <c r="C920" s="4"/>
      <c r="D920" s="4"/>
      <c r="E920" s="33"/>
    </row>
    <row r="921">
      <c r="A921" s="20"/>
      <c r="B921" s="20"/>
      <c r="C921" s="4"/>
      <c r="D921" s="4"/>
      <c r="E921" s="33"/>
    </row>
    <row r="922">
      <c r="A922" s="20"/>
      <c r="B922" s="20"/>
      <c r="C922" s="4"/>
      <c r="D922" s="4"/>
      <c r="E922" s="33"/>
    </row>
    <row r="923">
      <c r="A923" s="20"/>
      <c r="B923" s="20"/>
      <c r="C923" s="4"/>
      <c r="D923" s="4"/>
      <c r="E923" s="33"/>
    </row>
    <row r="924">
      <c r="A924" s="20"/>
      <c r="B924" s="20"/>
      <c r="C924" s="4"/>
      <c r="D924" s="4"/>
      <c r="E924" s="33"/>
    </row>
    <row r="925">
      <c r="A925" s="20"/>
      <c r="B925" s="20"/>
      <c r="C925" s="4"/>
      <c r="D925" s="4"/>
      <c r="E925" s="33"/>
    </row>
    <row r="926">
      <c r="A926" s="20"/>
      <c r="B926" s="20"/>
      <c r="C926" s="4"/>
      <c r="D926" s="4"/>
      <c r="E926" s="33"/>
    </row>
    <row r="927">
      <c r="A927" s="20"/>
      <c r="B927" s="20"/>
      <c r="C927" s="4"/>
      <c r="D927" s="4"/>
      <c r="E927" s="33"/>
    </row>
    <row r="928">
      <c r="A928" s="20"/>
      <c r="B928" s="20"/>
      <c r="C928" s="4"/>
      <c r="D928" s="4"/>
      <c r="E928" s="33"/>
    </row>
    <row r="929">
      <c r="A929" s="20"/>
      <c r="B929" s="20"/>
      <c r="C929" s="4"/>
      <c r="D929" s="4"/>
      <c r="E929" s="33"/>
    </row>
    <row r="930">
      <c r="A930" s="20"/>
      <c r="B930" s="20"/>
      <c r="C930" s="4"/>
      <c r="D930" s="4"/>
      <c r="E930" s="33"/>
    </row>
    <row r="931">
      <c r="A931" s="20"/>
      <c r="B931" s="20"/>
      <c r="C931" s="4"/>
      <c r="D931" s="4"/>
      <c r="E931" s="33"/>
    </row>
    <row r="932">
      <c r="A932" s="20"/>
      <c r="B932" s="20"/>
      <c r="C932" s="4"/>
      <c r="D932" s="4"/>
      <c r="E932" s="33"/>
    </row>
    <row r="933">
      <c r="A933" s="20"/>
      <c r="B933" s="20"/>
      <c r="C933" s="4"/>
      <c r="D933" s="4"/>
      <c r="E933" s="33"/>
    </row>
    <row r="934">
      <c r="A934" s="20"/>
      <c r="B934" s="20"/>
      <c r="C934" s="4"/>
      <c r="D934" s="4"/>
      <c r="E934" s="33"/>
    </row>
    <row r="935">
      <c r="A935" s="20"/>
      <c r="B935" s="20"/>
      <c r="C935" s="4"/>
      <c r="D935" s="4"/>
      <c r="E935" s="33"/>
    </row>
    <row r="936">
      <c r="A936" s="20"/>
      <c r="B936" s="20"/>
      <c r="C936" s="4"/>
      <c r="D936" s="4"/>
      <c r="E936" s="33"/>
    </row>
    <row r="937">
      <c r="A937" s="20"/>
      <c r="B937" s="20"/>
      <c r="C937" s="4"/>
      <c r="D937" s="4"/>
      <c r="E937" s="33"/>
    </row>
    <row r="938">
      <c r="A938" s="20"/>
      <c r="B938" s="20"/>
      <c r="C938" s="4"/>
      <c r="D938" s="4"/>
      <c r="E938" s="33"/>
    </row>
    <row r="939">
      <c r="A939" s="20"/>
      <c r="B939" s="20"/>
      <c r="C939" s="4"/>
      <c r="D939" s="4"/>
      <c r="E939" s="33"/>
    </row>
    <row r="940">
      <c r="A940" s="20"/>
      <c r="B940" s="20"/>
      <c r="C940" s="4"/>
      <c r="D940" s="4"/>
      <c r="E940" s="33"/>
    </row>
    <row r="941">
      <c r="A941" s="20"/>
      <c r="B941" s="20"/>
      <c r="C941" s="4"/>
      <c r="D941" s="4"/>
      <c r="E941" s="33"/>
    </row>
    <row r="942">
      <c r="A942" s="20"/>
      <c r="B942" s="20"/>
      <c r="C942" s="4"/>
      <c r="D942" s="4"/>
      <c r="E942" s="33"/>
    </row>
    <row r="943">
      <c r="A943" s="20"/>
      <c r="B943" s="20"/>
      <c r="C943" s="4"/>
      <c r="D943" s="4"/>
      <c r="E943" s="33"/>
    </row>
    <row r="944">
      <c r="A944" s="20"/>
      <c r="B944" s="20"/>
      <c r="C944" s="4"/>
      <c r="D944" s="4"/>
      <c r="E944" s="33"/>
    </row>
    <row r="945">
      <c r="A945" s="20"/>
      <c r="B945" s="20"/>
      <c r="C945" s="4"/>
      <c r="D945" s="4"/>
      <c r="E945" s="33"/>
    </row>
    <row r="946">
      <c r="A946" s="20"/>
      <c r="B946" s="20"/>
      <c r="C946" s="4"/>
      <c r="D946" s="4"/>
      <c r="E946" s="33"/>
    </row>
    <row r="947">
      <c r="A947" s="20"/>
      <c r="B947" s="20"/>
      <c r="C947" s="4"/>
      <c r="D947" s="4"/>
      <c r="E947" s="33"/>
    </row>
    <row r="948">
      <c r="A948" s="20"/>
      <c r="B948" s="20"/>
      <c r="C948" s="4"/>
      <c r="D948" s="4"/>
      <c r="E948" s="33"/>
    </row>
    <row r="949">
      <c r="A949" s="20"/>
      <c r="B949" s="20"/>
      <c r="C949" s="4"/>
      <c r="D949" s="4"/>
      <c r="E949" s="33"/>
    </row>
    <row r="950">
      <c r="A950" s="20"/>
      <c r="B950" s="20"/>
      <c r="C950" s="4"/>
      <c r="D950" s="4"/>
      <c r="E950" s="33"/>
    </row>
    <row r="951">
      <c r="A951" s="20"/>
      <c r="B951" s="20"/>
      <c r="C951" s="4"/>
      <c r="D951" s="4"/>
      <c r="E951" s="33"/>
    </row>
    <row r="952">
      <c r="A952" s="20"/>
      <c r="B952" s="20"/>
      <c r="C952" s="4"/>
      <c r="D952" s="4"/>
      <c r="E952" s="33"/>
    </row>
    <row r="953">
      <c r="A953" s="20"/>
      <c r="B953" s="20"/>
      <c r="C953" s="4"/>
      <c r="D953" s="4"/>
      <c r="E953" s="33"/>
    </row>
    <row r="954">
      <c r="A954" s="20"/>
      <c r="B954" s="20"/>
      <c r="C954" s="4"/>
      <c r="D954" s="4"/>
      <c r="E954" s="33"/>
    </row>
    <row r="955">
      <c r="A955" s="20"/>
      <c r="B955" s="20"/>
      <c r="C955" s="4"/>
      <c r="D955" s="4"/>
      <c r="E955" s="33"/>
    </row>
    <row r="956">
      <c r="A956" s="20"/>
      <c r="B956" s="20"/>
      <c r="C956" s="4"/>
      <c r="D956" s="4"/>
      <c r="E956" s="33"/>
    </row>
    <row r="957">
      <c r="A957" s="20"/>
      <c r="B957" s="20"/>
      <c r="C957" s="4"/>
      <c r="D957" s="4"/>
      <c r="E957" s="33"/>
    </row>
    <row r="958">
      <c r="A958" s="20"/>
      <c r="B958" s="20"/>
      <c r="C958" s="4"/>
      <c r="D958" s="4"/>
      <c r="E958" s="33"/>
    </row>
    <row r="959">
      <c r="A959" s="20"/>
      <c r="B959" s="20"/>
      <c r="C959" s="4"/>
      <c r="D959" s="4"/>
      <c r="E959" s="33"/>
    </row>
    <row r="960">
      <c r="A960" s="20"/>
      <c r="B960" s="20"/>
      <c r="C960" s="4"/>
      <c r="D960" s="4"/>
      <c r="E960" s="33"/>
    </row>
    <row r="961">
      <c r="A961" s="20"/>
      <c r="B961" s="20"/>
      <c r="C961" s="4"/>
      <c r="D961" s="4"/>
      <c r="E961" s="33"/>
    </row>
    <row r="962">
      <c r="A962" s="20"/>
      <c r="B962" s="20"/>
      <c r="C962" s="4"/>
      <c r="D962" s="4"/>
      <c r="E962" s="33"/>
    </row>
    <row r="963">
      <c r="A963" s="20"/>
      <c r="B963" s="20"/>
      <c r="C963" s="4"/>
      <c r="D963" s="4"/>
      <c r="E963" s="33"/>
    </row>
    <row r="964">
      <c r="A964" s="20"/>
      <c r="B964" s="20"/>
      <c r="C964" s="4"/>
      <c r="D964" s="4"/>
      <c r="E964" s="33"/>
    </row>
    <row r="965">
      <c r="A965" s="20"/>
      <c r="B965" s="20"/>
      <c r="C965" s="4"/>
      <c r="D965" s="4"/>
      <c r="E965" s="33"/>
    </row>
    <row r="966">
      <c r="A966" s="20"/>
      <c r="B966" s="20"/>
      <c r="C966" s="4"/>
      <c r="D966" s="4"/>
      <c r="E966" s="33"/>
    </row>
    <row r="967">
      <c r="A967" s="20"/>
      <c r="B967" s="20"/>
      <c r="C967" s="4"/>
      <c r="D967" s="4"/>
      <c r="E967" s="33"/>
    </row>
    <row r="968">
      <c r="A968" s="20"/>
      <c r="B968" s="20"/>
      <c r="C968" s="4"/>
      <c r="D968" s="4"/>
      <c r="E968" s="33"/>
    </row>
    <row r="969">
      <c r="A969" s="20"/>
      <c r="B969" s="20"/>
      <c r="C969" s="4"/>
      <c r="D969" s="4"/>
      <c r="E969" s="33"/>
    </row>
    <row r="970">
      <c r="A970" s="20"/>
      <c r="B970" s="20"/>
      <c r="C970" s="4"/>
      <c r="D970" s="4"/>
      <c r="E970" s="33"/>
    </row>
    <row r="971">
      <c r="A971" s="20"/>
      <c r="B971" s="20"/>
      <c r="C971" s="4"/>
      <c r="D971" s="4"/>
      <c r="E971" s="33"/>
    </row>
    <row r="972">
      <c r="A972" s="20"/>
      <c r="B972" s="20"/>
      <c r="C972" s="4"/>
      <c r="D972" s="4"/>
      <c r="E972" s="33"/>
    </row>
    <row r="973">
      <c r="A973" s="20"/>
      <c r="B973" s="20"/>
      <c r="C973" s="4"/>
      <c r="D973" s="4"/>
      <c r="E973" s="33"/>
    </row>
    <row r="974">
      <c r="A974" s="20"/>
      <c r="B974" s="20"/>
      <c r="C974" s="4"/>
      <c r="D974" s="4"/>
      <c r="E974" s="33"/>
    </row>
    <row r="975">
      <c r="A975" s="20"/>
      <c r="B975" s="20"/>
      <c r="C975" s="4"/>
      <c r="D975" s="4"/>
      <c r="E975" s="33"/>
    </row>
    <row r="976">
      <c r="A976" s="20"/>
      <c r="B976" s="20"/>
      <c r="C976" s="4"/>
      <c r="D976" s="4"/>
      <c r="E976" s="33"/>
    </row>
    <row r="977">
      <c r="A977" s="20"/>
      <c r="B977" s="20"/>
      <c r="C977" s="4"/>
      <c r="D977" s="4"/>
      <c r="E977" s="33"/>
    </row>
    <row r="978">
      <c r="A978" s="20"/>
      <c r="B978" s="20"/>
      <c r="C978" s="4"/>
      <c r="D978" s="4"/>
      <c r="E978" s="33"/>
    </row>
    <row r="979">
      <c r="A979" s="20"/>
      <c r="B979" s="20"/>
      <c r="C979" s="4"/>
      <c r="D979" s="4"/>
      <c r="E979" s="33"/>
    </row>
    <row r="980">
      <c r="A980" s="20"/>
      <c r="B980" s="20"/>
      <c r="C980" s="4"/>
      <c r="D980" s="4"/>
      <c r="E980" s="33"/>
    </row>
    <row r="981">
      <c r="A981" s="20"/>
      <c r="B981" s="20"/>
      <c r="C981" s="4"/>
      <c r="D981" s="4"/>
      <c r="E981" s="33"/>
    </row>
    <row r="982">
      <c r="A982" s="20"/>
      <c r="B982" s="20"/>
      <c r="C982" s="4"/>
      <c r="D982" s="4"/>
      <c r="E982" s="33"/>
    </row>
    <row r="983">
      <c r="A983" s="20"/>
      <c r="B983" s="20"/>
      <c r="C983" s="4"/>
      <c r="D983" s="4"/>
      <c r="E983" s="33"/>
    </row>
    <row r="984">
      <c r="A984" s="20"/>
      <c r="B984" s="20"/>
      <c r="C984" s="4"/>
      <c r="D984" s="4"/>
      <c r="E984" s="33"/>
    </row>
    <row r="985">
      <c r="A985" s="20"/>
      <c r="B985" s="20"/>
      <c r="C985" s="4"/>
      <c r="D985" s="4"/>
      <c r="E985" s="33"/>
    </row>
    <row r="986">
      <c r="A986" s="20"/>
      <c r="B986" s="20"/>
      <c r="C986" s="4"/>
      <c r="D986" s="4"/>
      <c r="E986" s="33"/>
    </row>
    <row r="987">
      <c r="A987" s="20"/>
      <c r="B987" s="20"/>
      <c r="C987" s="4"/>
      <c r="D987" s="4"/>
      <c r="E987" s="33"/>
    </row>
    <row r="988">
      <c r="A988" s="20"/>
      <c r="B988" s="20"/>
      <c r="C988" s="4"/>
      <c r="D988" s="4"/>
      <c r="E988" s="33"/>
    </row>
    <row r="989">
      <c r="A989" s="20"/>
      <c r="B989" s="20"/>
      <c r="C989" s="4"/>
      <c r="D989" s="4"/>
      <c r="E989" s="33"/>
    </row>
    <row r="990">
      <c r="A990" s="20"/>
      <c r="B990" s="20"/>
      <c r="C990" s="4"/>
      <c r="D990" s="4"/>
      <c r="E990" s="33"/>
    </row>
    <row r="991">
      <c r="A991" s="20"/>
      <c r="B991" s="20"/>
      <c r="C991" s="4"/>
      <c r="D991" s="4"/>
      <c r="E991" s="33"/>
    </row>
    <row r="992">
      <c r="A992" s="20"/>
      <c r="B992" s="20"/>
      <c r="C992" s="4"/>
      <c r="D992" s="4"/>
      <c r="E992" s="33"/>
    </row>
    <row r="993">
      <c r="A993" s="20"/>
      <c r="B993" s="20"/>
      <c r="C993" s="4"/>
      <c r="D993" s="4"/>
      <c r="E993" s="33"/>
    </row>
    <row r="994">
      <c r="A994" s="20"/>
      <c r="B994" s="20"/>
      <c r="C994" s="4"/>
      <c r="D994" s="4"/>
      <c r="E994" s="33"/>
    </row>
    <row r="995">
      <c r="A995" s="20"/>
      <c r="B995" s="20"/>
      <c r="C995" s="4"/>
      <c r="D995" s="4"/>
      <c r="E995" s="33"/>
    </row>
    <row r="996">
      <c r="A996" s="20"/>
      <c r="B996" s="20"/>
      <c r="C996" s="4"/>
      <c r="D996" s="4"/>
      <c r="E996" s="33"/>
    </row>
    <row r="997">
      <c r="A997" s="20"/>
      <c r="B997" s="20"/>
      <c r="C997" s="4"/>
      <c r="D997" s="4"/>
      <c r="E997" s="33"/>
    </row>
    <row r="998">
      <c r="A998" s="20"/>
      <c r="B998" s="20"/>
      <c r="C998" s="4"/>
      <c r="D998" s="4"/>
      <c r="E998" s="33"/>
    </row>
    <row r="999">
      <c r="A999" s="20"/>
      <c r="B999" s="20"/>
      <c r="C999" s="4"/>
      <c r="D999" s="4"/>
      <c r="E999" s="33"/>
    </row>
    <row r="1000">
      <c r="A1000" s="20"/>
      <c r="B1000" s="20"/>
      <c r="C1000" s="4"/>
      <c r="D1000" s="4"/>
      <c r="E1000" s="33"/>
    </row>
    <row r="1001">
      <c r="A1001" s="20"/>
      <c r="B1001" s="20"/>
      <c r="C1001" s="4"/>
      <c r="D1001" s="4"/>
      <c r="E1001" s="33"/>
    </row>
    <row r="1002">
      <c r="A1002" s="20"/>
      <c r="B1002" s="20"/>
      <c r="C1002" s="4"/>
      <c r="D1002" s="4"/>
      <c r="E1002" s="33"/>
    </row>
    <row r="1003">
      <c r="A1003" s="20"/>
      <c r="B1003" s="20"/>
      <c r="C1003" s="4"/>
      <c r="D1003" s="4"/>
      <c r="E1003" s="33"/>
    </row>
    <row r="1004">
      <c r="A1004" s="20"/>
      <c r="B1004" s="20"/>
      <c r="C1004" s="4"/>
      <c r="D1004" s="4"/>
      <c r="E1004" s="33"/>
    </row>
    <row r="1005">
      <c r="A1005" s="20"/>
      <c r="B1005" s="20"/>
      <c r="C1005" s="4"/>
      <c r="D1005" s="4"/>
      <c r="E1005" s="33"/>
    </row>
    <row r="1006">
      <c r="A1006" s="20"/>
      <c r="B1006" s="20"/>
      <c r="C1006" s="4"/>
      <c r="D1006" s="4"/>
      <c r="E1006" s="33"/>
    </row>
    <row r="1007">
      <c r="A1007" s="20"/>
      <c r="B1007" s="20"/>
      <c r="C1007" s="4"/>
      <c r="D1007" s="4"/>
      <c r="E1007" s="33"/>
    </row>
    <row r="1008">
      <c r="A1008" s="20"/>
      <c r="B1008" s="20"/>
      <c r="C1008" s="4"/>
      <c r="D1008" s="4"/>
      <c r="E1008" s="33"/>
    </row>
    <row r="1009">
      <c r="A1009" s="20"/>
      <c r="B1009" s="20"/>
      <c r="C1009" s="4"/>
      <c r="D1009" s="4"/>
      <c r="E1009" s="33"/>
    </row>
    <row r="1010">
      <c r="A1010" s="20"/>
      <c r="B1010" s="20"/>
      <c r="C1010" s="4"/>
      <c r="D1010" s="4"/>
      <c r="E1010" s="33"/>
    </row>
    <row r="1011">
      <c r="A1011" s="20"/>
      <c r="B1011" s="20"/>
      <c r="C1011" s="4"/>
      <c r="D1011" s="4"/>
      <c r="E1011" s="33"/>
    </row>
    <row r="1012">
      <c r="A1012" s="20"/>
      <c r="B1012" s="20"/>
      <c r="C1012" s="4"/>
      <c r="D1012" s="4"/>
      <c r="E1012" s="33"/>
    </row>
    <row r="1013">
      <c r="A1013" s="20"/>
      <c r="B1013" s="20"/>
      <c r="C1013" s="4"/>
      <c r="D1013" s="4"/>
      <c r="E1013" s="33"/>
    </row>
    <row r="1014">
      <c r="A1014" s="20"/>
      <c r="B1014" s="20"/>
      <c r="C1014" s="4"/>
      <c r="D1014" s="4"/>
      <c r="E1014" s="33"/>
    </row>
    <row r="1015">
      <c r="A1015" s="20"/>
      <c r="B1015" s="20"/>
      <c r="C1015" s="4"/>
      <c r="D1015" s="4"/>
      <c r="E1015" s="33"/>
    </row>
    <row r="1016">
      <c r="A1016" s="20"/>
      <c r="B1016" s="20"/>
      <c r="C1016" s="4"/>
      <c r="D1016" s="4"/>
      <c r="E1016" s="33"/>
    </row>
    <row r="1017">
      <c r="A1017" s="20"/>
      <c r="B1017" s="20"/>
      <c r="C1017" s="4"/>
      <c r="D1017" s="4"/>
      <c r="E1017" s="33"/>
    </row>
    <row r="1018">
      <c r="A1018" s="20"/>
      <c r="B1018" s="20"/>
      <c r="C1018" s="4"/>
      <c r="D1018" s="4"/>
      <c r="E1018" s="33"/>
    </row>
    <row r="1019">
      <c r="A1019" s="20"/>
      <c r="B1019" s="20"/>
      <c r="C1019" s="4"/>
      <c r="D1019" s="4"/>
      <c r="E1019" s="33"/>
    </row>
    <row r="1020">
      <c r="A1020" s="20"/>
      <c r="B1020" s="20"/>
      <c r="C1020" s="4"/>
      <c r="D1020" s="4"/>
      <c r="E1020" s="33"/>
    </row>
    <row r="1021">
      <c r="A1021" s="20"/>
      <c r="B1021" s="20"/>
      <c r="C1021" s="4"/>
      <c r="D1021" s="4"/>
      <c r="E1021" s="33"/>
    </row>
    <row r="1022">
      <c r="A1022" s="20"/>
      <c r="B1022" s="20"/>
      <c r="C1022" s="4"/>
      <c r="D1022" s="4"/>
      <c r="E1022" s="33"/>
    </row>
    <row r="1023">
      <c r="A1023" s="20"/>
      <c r="B1023" s="20"/>
      <c r="C1023" s="4"/>
      <c r="D1023" s="4"/>
      <c r="E1023" s="33"/>
    </row>
    <row r="1024">
      <c r="A1024" s="20"/>
      <c r="B1024" s="20"/>
      <c r="C1024" s="4"/>
      <c r="D1024" s="4"/>
      <c r="E1024" s="33"/>
    </row>
    <row r="1025">
      <c r="A1025" s="20"/>
      <c r="B1025" s="20"/>
      <c r="C1025" s="4"/>
      <c r="D1025" s="4"/>
      <c r="E1025" s="33"/>
    </row>
    <row r="1026">
      <c r="A1026" s="20"/>
      <c r="B1026" s="20"/>
      <c r="C1026" s="4"/>
      <c r="D1026" s="4"/>
      <c r="E1026" s="33"/>
    </row>
    <row r="1027">
      <c r="A1027" s="20"/>
      <c r="B1027" s="20"/>
      <c r="C1027" s="4"/>
      <c r="D1027" s="4"/>
      <c r="E1027" s="33"/>
    </row>
    <row r="1028">
      <c r="A1028" s="20"/>
      <c r="B1028" s="20"/>
      <c r="C1028" s="4"/>
      <c r="D1028" s="4"/>
      <c r="E1028" s="33"/>
    </row>
    <row r="1029">
      <c r="A1029" s="20"/>
      <c r="B1029" s="20"/>
      <c r="C1029" s="4"/>
      <c r="D1029" s="4"/>
      <c r="E1029" s="33"/>
    </row>
    <row r="1030">
      <c r="A1030" s="20"/>
      <c r="B1030" s="20"/>
      <c r="C1030" s="4"/>
      <c r="D1030" s="4"/>
      <c r="E1030" s="33"/>
    </row>
    <row r="1031">
      <c r="A1031" s="20"/>
      <c r="B1031" s="20"/>
      <c r="C1031" s="4"/>
      <c r="D1031" s="4"/>
      <c r="E1031" s="33"/>
    </row>
    <row r="1032">
      <c r="A1032" s="20"/>
      <c r="B1032" s="20"/>
      <c r="C1032" s="4"/>
      <c r="D1032" s="4"/>
      <c r="E1032" s="33"/>
    </row>
    <row r="1033">
      <c r="A1033" s="20"/>
      <c r="B1033" s="20"/>
      <c r="C1033" s="4"/>
      <c r="D1033" s="4"/>
      <c r="E1033" s="33"/>
    </row>
    <row r="1034">
      <c r="A1034" s="20"/>
      <c r="B1034" s="20"/>
      <c r="C1034" s="4"/>
      <c r="D1034" s="4"/>
      <c r="E1034" s="33"/>
    </row>
    <row r="1035">
      <c r="A1035" s="20"/>
      <c r="B1035" s="20"/>
      <c r="C1035" s="4"/>
      <c r="D1035" s="4"/>
      <c r="E1035" s="33"/>
    </row>
    <row r="1036">
      <c r="A1036" s="20"/>
      <c r="B1036" s="20"/>
      <c r="C1036" s="4"/>
      <c r="D1036" s="4"/>
      <c r="E1036" s="33"/>
    </row>
    <row r="1037">
      <c r="A1037" s="20"/>
      <c r="B1037" s="20"/>
      <c r="C1037" s="4"/>
      <c r="D1037" s="4"/>
      <c r="E1037" s="33"/>
    </row>
    <row r="1038">
      <c r="A1038" s="20"/>
      <c r="B1038" s="20"/>
      <c r="C1038" s="4"/>
      <c r="D1038" s="4"/>
      <c r="E1038" s="33"/>
    </row>
    <row r="1039">
      <c r="A1039" s="20"/>
      <c r="B1039" s="20"/>
      <c r="C1039" s="4"/>
      <c r="D1039" s="4"/>
      <c r="E1039" s="33"/>
    </row>
    <row r="1040">
      <c r="A1040" s="20"/>
      <c r="B1040" s="20"/>
      <c r="C1040" s="4"/>
      <c r="D1040" s="4"/>
      <c r="E1040" s="33"/>
    </row>
    <row r="1041">
      <c r="A1041" s="20"/>
      <c r="B1041" s="20"/>
      <c r="C1041" s="4"/>
      <c r="D1041" s="4"/>
      <c r="E1041" s="33"/>
    </row>
    <row r="1042">
      <c r="A1042" s="20"/>
      <c r="B1042" s="20"/>
      <c r="C1042" s="4"/>
      <c r="D1042" s="4"/>
      <c r="E1042" s="33"/>
    </row>
    <row r="1043">
      <c r="A1043" s="20"/>
      <c r="B1043" s="20"/>
      <c r="C1043" s="4"/>
      <c r="D1043" s="4"/>
      <c r="E1043" s="33"/>
    </row>
    <row r="1044">
      <c r="A1044" s="20"/>
      <c r="B1044" s="20"/>
      <c r="C1044" s="4"/>
      <c r="D1044" s="4"/>
      <c r="E1044" s="33"/>
    </row>
    <row r="1045">
      <c r="A1045" s="20"/>
      <c r="B1045" s="20"/>
      <c r="C1045" s="4"/>
      <c r="D1045" s="4"/>
      <c r="E1045" s="33"/>
    </row>
    <row r="1046">
      <c r="A1046" s="20"/>
      <c r="B1046" s="20"/>
      <c r="C1046" s="4"/>
      <c r="D1046" s="4"/>
      <c r="E1046" s="33"/>
    </row>
    <row r="1047">
      <c r="A1047" s="20"/>
      <c r="B1047" s="20"/>
      <c r="C1047" s="4"/>
      <c r="D1047" s="4"/>
      <c r="E1047" s="33"/>
    </row>
    <row r="1048">
      <c r="A1048" s="20"/>
      <c r="B1048" s="20"/>
      <c r="C1048" s="4"/>
      <c r="D1048" s="4"/>
      <c r="E1048" s="33"/>
    </row>
    <row r="1049">
      <c r="A1049" s="20"/>
      <c r="B1049" s="20"/>
      <c r="C1049" s="4"/>
      <c r="D1049" s="4"/>
      <c r="E1049" s="33"/>
    </row>
    <row r="1050">
      <c r="A1050" s="20"/>
      <c r="B1050" s="20"/>
      <c r="C1050" s="4"/>
      <c r="D1050" s="4"/>
      <c r="E1050" s="33"/>
    </row>
    <row r="1051">
      <c r="A1051" s="20"/>
      <c r="B1051" s="20"/>
      <c r="C1051" s="4"/>
      <c r="D1051" s="4"/>
      <c r="E1051" s="33"/>
    </row>
    <row r="1052">
      <c r="A1052" s="20"/>
      <c r="B1052" s="20"/>
      <c r="C1052" s="4"/>
      <c r="D1052" s="4"/>
      <c r="E1052" s="33"/>
    </row>
    <row r="1053">
      <c r="A1053" s="20"/>
      <c r="B1053" s="20"/>
      <c r="C1053" s="4"/>
      <c r="D1053" s="4"/>
      <c r="E1053" s="33"/>
    </row>
    <row r="1054">
      <c r="A1054" s="20"/>
      <c r="B1054" s="20"/>
      <c r="C1054" s="4"/>
      <c r="D1054" s="4"/>
      <c r="E1054" s="33"/>
    </row>
    <row r="1055">
      <c r="A1055" s="20"/>
      <c r="B1055" s="20"/>
      <c r="C1055" s="4"/>
      <c r="D1055" s="4"/>
      <c r="E1055" s="33"/>
    </row>
    <row r="1056">
      <c r="A1056" s="20"/>
      <c r="B1056" s="20"/>
      <c r="C1056" s="4"/>
      <c r="D1056" s="4"/>
      <c r="E1056" s="33"/>
    </row>
    <row r="1057">
      <c r="A1057" s="20"/>
      <c r="B1057" s="20"/>
      <c r="C1057" s="4"/>
      <c r="D1057" s="4"/>
      <c r="E1057" s="33"/>
    </row>
    <row r="1058">
      <c r="A1058" s="20"/>
      <c r="B1058" s="20"/>
      <c r="C1058" s="4"/>
      <c r="D1058" s="4"/>
      <c r="E1058" s="33"/>
    </row>
    <row r="1059">
      <c r="A1059" s="20"/>
      <c r="B1059" s="20"/>
      <c r="C1059" s="4"/>
      <c r="D1059" s="4"/>
      <c r="E1059" s="33"/>
    </row>
    <row r="1060">
      <c r="A1060" s="20"/>
      <c r="B1060" s="20"/>
      <c r="C1060" s="4"/>
      <c r="D1060" s="4"/>
      <c r="E1060" s="33"/>
    </row>
    <row r="1061">
      <c r="A1061" s="20"/>
      <c r="B1061" s="20"/>
      <c r="C1061" s="4"/>
      <c r="D1061" s="4"/>
      <c r="E1061" s="33"/>
    </row>
    <row r="1062">
      <c r="A1062" s="20"/>
      <c r="B1062" s="20"/>
      <c r="C1062" s="4"/>
      <c r="D1062" s="4"/>
      <c r="E1062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</cols>
  <sheetData>
    <row r="1">
      <c r="A1" s="1" t="s">
        <v>0</v>
      </c>
      <c r="B1" s="2" t="s">
        <v>1</v>
      </c>
      <c r="C1" s="3" t="s">
        <v>2</v>
      </c>
    </row>
    <row r="2">
      <c r="A2" s="5" t="str">
        <f>IFERROR(__xludf.DUMMYFUNCTION("QUERY(IMPORTRANGE(""https://docs.google.com/spreadsheets/d/1uL7u7wi-N6XMNaiiEn8EgL1KwO9D93ItEOaOTxWgeIE/edit?gid=0#gid=0"", ""Report!A2:Z""), ""SELECT Col1, Col16,Col5"")"),"LABEL NIIMBOT D11 UKURAN 12 X 22 MM ")</f>
        <v>LABEL NIIMBOT D11 UKURAN 12 X 22 MM </v>
      </c>
      <c r="B2" s="6" t="str">
        <f>IFERROR(__xludf.DUMMYFUNCTION("""COMPUTED_VALUE"""),"A0001")</f>
        <v>A0001</v>
      </c>
      <c r="C2" s="7">
        <f>IFERROR(__xludf.DUMMYFUNCTION("""COMPUTED_VALUE"""),13.0)</f>
        <v>13</v>
      </c>
    </row>
    <row r="3">
      <c r="A3" s="5" t="str">
        <f>IFERROR(__xludf.DUMMYFUNCTION("""COMPUTED_VALUE"""),"PLASTIK KLIP UKURAN 25X16 ISI 100PCS")</f>
        <v>PLASTIK KLIP UKURAN 25X16 ISI 100PCS</v>
      </c>
      <c r="B3" s="6" t="str">
        <f>IFERROR(__xludf.DUMMYFUNCTION("""COMPUTED_VALUE"""),"A0002")</f>
        <v>A0002</v>
      </c>
      <c r="C3" s="7">
        <f>IFERROR(__xludf.DUMMYFUNCTION("""COMPUTED_VALUE"""),0.0)</f>
        <v>0</v>
      </c>
    </row>
    <row r="4">
      <c r="A4" s="5" t="str">
        <f>IFERROR(__xludf.DUMMYFUNCTION("""COMPUTED_VALUE"""),"LABEL TOM &amp; JERRY BULAT NO. 113 WARNA BIRU (PACK)")</f>
        <v>LABEL TOM &amp; JERRY BULAT NO. 113 WARNA BIRU (PACK)</v>
      </c>
      <c r="B4" s="6" t="str">
        <f>IFERROR(__xludf.DUMMYFUNCTION("""COMPUTED_VALUE"""),"A0003")</f>
        <v>A0003</v>
      </c>
      <c r="C4" s="7">
        <f>IFERROR(__xludf.DUMMYFUNCTION("""COMPUTED_VALUE"""),25.0)</f>
        <v>25</v>
      </c>
    </row>
    <row r="5">
      <c r="A5" s="5" t="str">
        <f>IFERROR(__xludf.DUMMYFUNCTION("""COMPUTED_VALUE"""),"LABEL TOM &amp; JERRY BULAT NO. 113 WARNA MERAH (PACK)")</f>
        <v>LABEL TOM &amp; JERRY BULAT NO. 113 WARNA MERAH (PACK)</v>
      </c>
      <c r="B5" s="6" t="str">
        <f>IFERROR(__xludf.DUMMYFUNCTION("""COMPUTED_VALUE"""),"A0004")</f>
        <v>A0004</v>
      </c>
      <c r="C5" s="7">
        <f>IFERROR(__xludf.DUMMYFUNCTION("""COMPUTED_VALUE"""),25.0)</f>
        <v>25</v>
      </c>
    </row>
    <row r="6">
      <c r="A6" s="5" t="str">
        <f>IFERROR(__xludf.DUMMYFUNCTION("""COMPUTED_VALUE"""),"LABEL TOM &amp; JERRY BULAT NO. 113 WARNA ORANGE (PACK)")</f>
        <v>LABEL TOM &amp; JERRY BULAT NO. 113 WARNA ORANGE (PACK)</v>
      </c>
      <c r="B6" s="6" t="str">
        <f>IFERROR(__xludf.DUMMYFUNCTION("""COMPUTED_VALUE"""),"A0005")</f>
        <v>A0005</v>
      </c>
      <c r="C6" s="7">
        <f>IFERROR(__xludf.DUMMYFUNCTION("""COMPUTED_VALUE"""),25.0)</f>
        <v>25</v>
      </c>
    </row>
    <row r="7">
      <c r="A7" s="5" t="str">
        <f>IFERROR(__xludf.DUMMYFUNCTION("""COMPUTED_VALUE"""),"LABEL TOM &amp; JERRY BULAT NO. 113 WARNA HIJAU (PACK)")</f>
        <v>LABEL TOM &amp; JERRY BULAT NO. 113 WARNA HIJAU (PACK)</v>
      </c>
      <c r="B7" s="6" t="str">
        <f>IFERROR(__xludf.DUMMYFUNCTION("""COMPUTED_VALUE"""),"A0006")</f>
        <v>A0006</v>
      </c>
      <c r="C7" s="7">
        <f>IFERROR(__xludf.DUMMYFUNCTION("""COMPUTED_VALUE"""),25.0)</f>
        <v>25</v>
      </c>
    </row>
    <row r="8">
      <c r="A8" s="5" t="str">
        <f>IFERROR(__xludf.DUMMYFUNCTION("""COMPUTED_VALUE"""),"LABEL TOM &amp; JERRY BULAT NO. 113 WARNA KUNING (PACK)")</f>
        <v>LABEL TOM &amp; JERRY BULAT NO. 113 WARNA KUNING (PACK)</v>
      </c>
      <c r="B8" s="6" t="str">
        <f>IFERROR(__xludf.DUMMYFUNCTION("""COMPUTED_VALUE"""),"A0007")</f>
        <v>A0007</v>
      </c>
      <c r="C8" s="7">
        <f>IFERROR(__xludf.DUMMYFUNCTION("""COMPUTED_VALUE"""),25.0)</f>
        <v>25</v>
      </c>
    </row>
    <row r="9">
      <c r="A9" s="5" t="str">
        <f>IFERROR(__xludf.DUMMYFUNCTION("""COMPUTED_VALUE"""),"LABEL TOM &amp; JERRY BULAT NO. 113 WARNA PUTIH (PACK)")</f>
        <v>LABEL TOM &amp; JERRY BULAT NO. 113 WARNA PUTIH (PACK)</v>
      </c>
      <c r="B9" s="6" t="str">
        <f>IFERROR(__xludf.DUMMYFUNCTION("""COMPUTED_VALUE"""),"A0008")</f>
        <v>A0008</v>
      </c>
      <c r="C9" s="7">
        <f>IFERROR(__xludf.DUMMYFUNCTION("""COMPUTED_VALUE"""),25.0)</f>
        <v>25</v>
      </c>
    </row>
    <row r="10">
      <c r="A10" s="5" t="str">
        <f>IFERROR(__xludf.DUMMYFUNCTION("""COMPUTED_VALUE"""),"LABEL TOM &amp; JERRY BULAT NO. 113 WARNA PINK (PACK)")</f>
        <v>LABEL TOM &amp; JERRY BULAT NO. 113 WARNA PINK (PACK)</v>
      </c>
      <c r="B10" s="6" t="str">
        <f>IFERROR(__xludf.DUMMYFUNCTION("""COMPUTED_VALUE"""),"A0009")</f>
        <v>A0009</v>
      </c>
      <c r="C10" s="7">
        <f>IFERROR(__xludf.DUMMYFUNCTION("""COMPUTED_VALUE"""),25.0)</f>
        <v>25</v>
      </c>
    </row>
    <row r="11">
      <c r="A11" s="8" t="str">
        <f>IFERROR(__xludf.DUMMYFUNCTION("""COMPUTED_VALUE"""),"LABEL TOM N JERRY NO.121")</f>
        <v>LABEL TOM N JERRY NO.121</v>
      </c>
      <c r="B11" s="6" t="str">
        <f>IFERROR(__xludf.DUMMYFUNCTION("""COMPUTED_VALUE"""),"A0010")</f>
        <v>A0010</v>
      </c>
      <c r="C11" s="7">
        <f>IFERROR(__xludf.DUMMYFUNCTION("""COMPUTED_VALUE"""),0.0)</f>
        <v>0</v>
      </c>
    </row>
    <row r="12">
      <c r="A12" s="8" t="str">
        <f>IFERROR(__xludf.DUMMYFUNCTION("""COMPUTED_VALUE"""),"LABEL TOM N JERRY NO.103")</f>
        <v>LABEL TOM N JERRY NO.103</v>
      </c>
      <c r="B12" s="6" t="str">
        <f>IFERROR(__xludf.DUMMYFUNCTION("""COMPUTED_VALUE"""),"A0011")</f>
        <v>A0011</v>
      </c>
      <c r="C12" s="7">
        <f>IFERROR(__xludf.DUMMYFUNCTION("""COMPUTED_VALUE"""),25.0)</f>
        <v>25</v>
      </c>
    </row>
    <row r="13">
      <c r="A13" s="8" t="str">
        <f>IFERROR(__xludf.DUMMYFUNCTION("""COMPUTED_VALUE"""),"KERTAS HVS A4")</f>
        <v>KERTAS HVS A4</v>
      </c>
      <c r="B13" s="6" t="str">
        <f>IFERROR(__xludf.DUMMYFUNCTION("""COMPUTED_VALUE"""),"A0012")</f>
        <v>A0012</v>
      </c>
      <c r="C13" s="7">
        <f>IFERROR(__xludf.DUMMYFUNCTION("""COMPUTED_VALUE"""),11.0)</f>
        <v>11</v>
      </c>
    </row>
    <row r="14">
      <c r="A14" s="8" t="str">
        <f>IFERROR(__xludf.DUMMYFUNCTION("""COMPUTED_VALUE"""),"PULPEN HITAM")</f>
        <v>PULPEN HITAM</v>
      </c>
      <c r="B14" s="6" t="str">
        <f>IFERROR(__xludf.DUMMYFUNCTION("""COMPUTED_VALUE"""),"A0013")</f>
        <v>A0013</v>
      </c>
      <c r="C14" s="7">
        <f>IFERROR(__xludf.DUMMYFUNCTION("""COMPUTED_VALUE"""),66.0)</f>
        <v>66</v>
      </c>
    </row>
    <row r="15">
      <c r="A15" s="8" t="str">
        <f>IFERROR(__xludf.DUMMYFUNCTION("""COMPUTED_VALUE"""),"PULPEN MERAH")</f>
        <v>PULPEN MERAH</v>
      </c>
      <c r="B15" s="6" t="str">
        <f>IFERROR(__xludf.DUMMYFUNCTION("""COMPUTED_VALUE"""),"A0014")</f>
        <v>A0014</v>
      </c>
      <c r="C15" s="7">
        <f>IFERROR(__xludf.DUMMYFUNCTION("""COMPUTED_VALUE"""),172.0)</f>
        <v>172</v>
      </c>
    </row>
    <row r="16">
      <c r="A16" s="9" t="str">
        <f>IFERROR(__xludf.DUMMYFUNCTION("""COMPUTED_VALUE"""),"TIPE - X")</f>
        <v>TIPE - X</v>
      </c>
      <c r="B16" s="6" t="str">
        <f>IFERROR(__xludf.DUMMYFUNCTION("""COMPUTED_VALUE"""),"A0015")</f>
        <v>A0015</v>
      </c>
      <c r="C16" s="7">
        <f>IFERROR(__xludf.DUMMYFUNCTION("""COMPUTED_VALUE"""),26.0)</f>
        <v>26</v>
      </c>
    </row>
    <row r="17">
      <c r="A17" s="9" t="str">
        <f>IFERROR(__xludf.DUMMYFUNCTION("""COMPUTED_VALUE"""),"STABILO")</f>
        <v>STABILO</v>
      </c>
      <c r="B17" s="6" t="str">
        <f>IFERROR(__xludf.DUMMYFUNCTION("""COMPUTED_VALUE"""),"A0016")</f>
        <v>A0016</v>
      </c>
      <c r="C17" s="7">
        <f>IFERROR(__xludf.DUMMYFUNCTION("""COMPUTED_VALUE"""),8.0)</f>
        <v>8</v>
      </c>
    </row>
    <row r="18">
      <c r="A18" s="9" t="str">
        <f>IFERROR(__xludf.DUMMYFUNCTION("""COMPUTED_VALUE"""),"PENGGARIS")</f>
        <v>PENGGARIS</v>
      </c>
      <c r="B18" s="6" t="str">
        <f>IFERROR(__xludf.DUMMYFUNCTION("""COMPUTED_VALUE"""),"A0017")</f>
        <v>A0017</v>
      </c>
      <c r="C18" s="7">
        <f>IFERROR(__xludf.DUMMYFUNCTION("""COMPUTED_VALUE"""),5.0)</f>
        <v>5</v>
      </c>
    </row>
    <row r="19">
      <c r="A19" s="9" t="str">
        <f>IFERROR(__xludf.DUMMYFUNCTION("""COMPUTED_VALUE"""),"GUNTING")</f>
        <v>GUNTING</v>
      </c>
      <c r="B19" s="6" t="str">
        <f>IFERROR(__xludf.DUMMYFUNCTION("""COMPUTED_VALUE"""),"A0018")</f>
        <v>A0018</v>
      </c>
      <c r="C19" s="7">
        <f>IFERROR(__xludf.DUMMYFUNCTION("""COMPUTED_VALUE"""),4.0)</f>
        <v>4</v>
      </c>
    </row>
    <row r="20">
      <c r="A20" s="10" t="str">
        <f>IFERROR(__xludf.DUMMYFUNCTION("""COMPUTED_VALUE"""),"AMPLOP PUTIH")</f>
        <v>AMPLOP PUTIH</v>
      </c>
      <c r="B20" s="6" t="str">
        <f>IFERROR(__xludf.DUMMYFUNCTION("""COMPUTED_VALUE"""),"A0019")</f>
        <v>A0019</v>
      </c>
      <c r="C20" s="7">
        <f>IFERROR(__xludf.DUMMYFUNCTION("""COMPUTED_VALUE"""),400.0)</f>
        <v>400</v>
      </c>
    </row>
    <row r="21">
      <c r="A21" s="10" t="str">
        <f>IFERROR(__xludf.DUMMYFUNCTION("""COMPUTED_VALUE"""),"AMPLOP COKLAT SEAL")</f>
        <v>AMPLOP COKLAT SEAL</v>
      </c>
      <c r="B21" s="6" t="str">
        <f>IFERROR(__xludf.DUMMYFUNCTION("""COMPUTED_VALUE"""),"A0020")</f>
        <v>A0020</v>
      </c>
      <c r="C21" s="7">
        <f>IFERROR(__xludf.DUMMYFUNCTION("""COMPUTED_VALUE"""),200.0)</f>
        <v>200</v>
      </c>
    </row>
    <row r="22">
      <c r="A22" s="10" t="str">
        <f>IFERROR(__xludf.DUMMYFUNCTION("""COMPUTED_VALUE"""),"AMPLOP COKLAT")</f>
        <v>AMPLOP COKLAT</v>
      </c>
      <c r="B22" s="6" t="str">
        <f>IFERROR(__xludf.DUMMYFUNCTION("""COMPUTED_VALUE"""),"A0021")</f>
        <v>A0021</v>
      </c>
      <c r="C22" s="7">
        <f>IFERROR(__xludf.DUMMYFUNCTION("""COMPUTED_VALUE"""),300.0)</f>
        <v>300</v>
      </c>
    </row>
    <row r="23">
      <c r="A23" s="10" t="str">
        <f>IFERROR(__xludf.DUMMYFUNCTION("""COMPUTED_VALUE"""),"AMPLOP TALI")</f>
        <v>AMPLOP TALI</v>
      </c>
      <c r="B23" s="6" t="str">
        <f>IFERROR(__xludf.DUMMYFUNCTION("""COMPUTED_VALUE"""),"A0022")</f>
        <v>A0022</v>
      </c>
      <c r="C23" s="7">
        <f>IFERROR(__xludf.DUMMYFUNCTION("""COMPUTED_VALUE"""),150.0)</f>
        <v>150</v>
      </c>
    </row>
    <row r="24">
      <c r="A24" s="10" t="str">
        <f>IFERROR(__xludf.DUMMYFUNCTION("""COMPUTED_VALUE"""),"MAP PLASTIK BENING")</f>
        <v>MAP PLASTIK BENING</v>
      </c>
      <c r="B24" s="6" t="str">
        <f>IFERROR(__xludf.DUMMYFUNCTION("""COMPUTED_VALUE"""),"A0023")</f>
        <v>A0023</v>
      </c>
      <c r="C24" s="7">
        <f>IFERROR(__xludf.DUMMYFUNCTION("""COMPUTED_VALUE"""),27.0)</f>
        <v>27</v>
      </c>
    </row>
    <row r="25">
      <c r="A25" s="9" t="str">
        <f>IFERROR(__xludf.DUMMYFUNCTION("""COMPUTED_VALUE"""),"BATU BATERAI A3")</f>
        <v>BATU BATERAI A3</v>
      </c>
      <c r="B25" s="6" t="str">
        <f>IFERROR(__xludf.DUMMYFUNCTION("""COMPUTED_VALUE"""),"A0024")</f>
        <v>A0024</v>
      </c>
      <c r="C25" s="7">
        <f>IFERROR(__xludf.DUMMYFUNCTION("""COMPUTED_VALUE"""),82.0)</f>
        <v>82</v>
      </c>
    </row>
    <row r="26">
      <c r="A26" s="9" t="str">
        <f>IFERROR(__xludf.DUMMYFUNCTION("""COMPUTED_VALUE"""),"BATU BATERAI A2")</f>
        <v>BATU BATERAI A2</v>
      </c>
      <c r="B26" s="6" t="str">
        <f>IFERROR(__xludf.DUMMYFUNCTION("""COMPUTED_VALUE"""),"A0025")</f>
        <v>A0025</v>
      </c>
      <c r="C26" s="7">
        <f>IFERROR(__xludf.DUMMYFUNCTION("""COMPUTED_VALUE"""),428.0)</f>
        <v>428</v>
      </c>
    </row>
    <row r="27">
      <c r="A27" s="9" t="str">
        <f>IFERROR(__xludf.DUMMYFUNCTION("""COMPUTED_VALUE"""),"SPIDOL HITAM")</f>
        <v>SPIDOL HITAM</v>
      </c>
      <c r="B27" s="6" t="str">
        <f>IFERROR(__xludf.DUMMYFUNCTION("""COMPUTED_VALUE"""),"A0026")</f>
        <v>A0026</v>
      </c>
      <c r="C27" s="7">
        <f>IFERROR(__xludf.DUMMYFUNCTION("""COMPUTED_VALUE"""),78.0)</f>
        <v>78</v>
      </c>
    </row>
    <row r="28">
      <c r="A28" s="9" t="str">
        <f>IFERROR(__xludf.DUMMYFUNCTION("""COMPUTED_VALUE"""),"SPIDOL HITAM PERMANEN")</f>
        <v>SPIDOL HITAM PERMANEN</v>
      </c>
      <c r="B28" s="6" t="str">
        <f>IFERROR(__xludf.DUMMYFUNCTION("""COMPUTED_VALUE"""),"A0027")</f>
        <v>A0027</v>
      </c>
      <c r="C28" s="7">
        <f>IFERROR(__xludf.DUMMYFUNCTION("""COMPUTED_VALUE"""),0.0)</f>
        <v>0</v>
      </c>
    </row>
    <row r="29">
      <c r="A29" s="9" t="str">
        <f>IFERROR(__xludf.DUMMYFUNCTION("""COMPUTED_VALUE"""),"SPIDOL MERAH")</f>
        <v>SPIDOL MERAH</v>
      </c>
      <c r="B29" s="6" t="str">
        <f>IFERROR(__xludf.DUMMYFUNCTION("""COMPUTED_VALUE"""),"A0028")</f>
        <v>A0028</v>
      </c>
      <c r="C29" s="7">
        <f>IFERROR(__xludf.DUMMYFUNCTION("""COMPUTED_VALUE"""),32.0)</f>
        <v>32</v>
      </c>
    </row>
    <row r="30">
      <c r="A30" s="9" t="str">
        <f>IFERROR(__xludf.DUMMYFUNCTION("""COMPUTED_VALUE"""),"SPIDOL PUTIH")</f>
        <v>SPIDOL PUTIH</v>
      </c>
      <c r="B30" s="6" t="str">
        <f>IFERROR(__xludf.DUMMYFUNCTION("""COMPUTED_VALUE"""),"A0029")</f>
        <v>A0029</v>
      </c>
      <c r="C30" s="7">
        <f>IFERROR(__xludf.DUMMYFUNCTION("""COMPUTED_VALUE"""),44.0)</f>
        <v>44</v>
      </c>
    </row>
    <row r="31">
      <c r="A31" s="10" t="str">
        <f>IFERROR(__xludf.DUMMYFUNCTION("""COMPUTED_VALUE"""),"ISI STAPLES KECIL")</f>
        <v>ISI STAPLES KECIL</v>
      </c>
      <c r="B31" s="6" t="str">
        <f>IFERROR(__xludf.DUMMYFUNCTION("""COMPUTED_VALUE"""),"A0030")</f>
        <v>A0030</v>
      </c>
      <c r="C31" s="7">
        <f>IFERROR(__xludf.DUMMYFUNCTION("""COMPUTED_VALUE"""),79.0)</f>
        <v>79</v>
      </c>
    </row>
    <row r="32">
      <c r="A32" s="9" t="str">
        <f>IFERROR(__xludf.DUMMYFUNCTION("""COMPUTED_VALUE"""),"ISI STAPLES BESAR")</f>
        <v>ISI STAPLES BESAR</v>
      </c>
      <c r="B32" s="6" t="str">
        <f>IFERROR(__xludf.DUMMYFUNCTION("""COMPUTED_VALUE"""),"A0031")</f>
        <v>A0031</v>
      </c>
      <c r="C32" s="7">
        <f>IFERROR(__xludf.DUMMYFUNCTION("""COMPUTED_VALUE"""),14.0)</f>
        <v>14</v>
      </c>
    </row>
    <row r="33">
      <c r="A33" s="9" t="str">
        <f>IFERROR(__xludf.DUMMYFUNCTION("""COMPUTED_VALUE"""),"STAPLES")</f>
        <v>STAPLES</v>
      </c>
      <c r="B33" s="6" t="str">
        <f>IFERROR(__xludf.DUMMYFUNCTION("""COMPUTED_VALUE"""),"A0032")</f>
        <v>A0032</v>
      </c>
      <c r="C33" s="7">
        <f>IFERROR(__xludf.DUMMYFUNCTION("""COMPUTED_VALUE"""),13.0)</f>
        <v>13</v>
      </c>
    </row>
    <row r="34">
      <c r="A34" s="10" t="str">
        <f>IFERROR(__xludf.DUMMYFUNCTION("""COMPUTED_VALUE"""),"MATERAI")</f>
        <v>MATERAI</v>
      </c>
      <c r="B34" s="6" t="str">
        <f>IFERROR(__xludf.DUMMYFUNCTION("""COMPUTED_VALUE"""),"A0033")</f>
        <v>A0033</v>
      </c>
      <c r="C34" s="7">
        <f>IFERROR(__xludf.DUMMYFUNCTION("""COMPUTED_VALUE"""),304.0)</f>
        <v>304</v>
      </c>
    </row>
    <row r="35">
      <c r="A35" s="9" t="str">
        <f>IFERROR(__xludf.DUMMYFUNCTION("""COMPUTED_VALUE"""),"DOUBLE TAPE PUTIH")</f>
        <v>DOUBLE TAPE PUTIH</v>
      </c>
      <c r="B35" s="6" t="str">
        <f>IFERROR(__xludf.DUMMYFUNCTION("""COMPUTED_VALUE"""),"A0034")</f>
        <v>A0034</v>
      </c>
      <c r="C35" s="7">
        <f>IFERROR(__xludf.DUMMYFUNCTION("""COMPUTED_VALUE"""),11.0)</f>
        <v>11</v>
      </c>
    </row>
    <row r="36">
      <c r="A36" s="9" t="str">
        <f>IFERROR(__xludf.DUMMYFUNCTION("""COMPUTED_VALUE"""),"DOUBLE TAPE FOAM")</f>
        <v>DOUBLE TAPE FOAM</v>
      </c>
      <c r="B36" s="6" t="str">
        <f>IFERROR(__xludf.DUMMYFUNCTION("""COMPUTED_VALUE"""),"A0035")</f>
        <v>A0035</v>
      </c>
      <c r="C36" s="7">
        <f>IFERROR(__xludf.DUMMYFUNCTION("""COMPUTED_VALUE"""),31.0)</f>
        <v>31</v>
      </c>
    </row>
    <row r="37">
      <c r="A37" s="10" t="str">
        <f>IFERROR(__xludf.DUMMYFUNCTION("""COMPUTED_VALUE"""),"SHEET PROTECTOR ")</f>
        <v>SHEET PROTECTOR </v>
      </c>
      <c r="B37" s="6" t="str">
        <f>IFERROR(__xludf.DUMMYFUNCTION("""COMPUTED_VALUE"""),"A0036")</f>
        <v>A0036</v>
      </c>
      <c r="C37" s="7">
        <f>IFERROR(__xludf.DUMMYFUNCTION("""COMPUTED_VALUE"""),341.0)</f>
        <v>341</v>
      </c>
    </row>
    <row r="38">
      <c r="A38" s="10" t="str">
        <f>IFERROR(__xludf.DUMMYFUNCTION("""COMPUTED_VALUE"""),"BANTEX ")</f>
        <v>BANTEX </v>
      </c>
      <c r="B38" s="6" t="str">
        <f>IFERROR(__xludf.DUMMYFUNCTION("""COMPUTED_VALUE"""),"A0037")</f>
        <v>A0037</v>
      </c>
      <c r="C38" s="7">
        <f>IFERROR(__xludf.DUMMYFUNCTION("""COMPUTED_VALUE"""),13.0)</f>
        <v>13</v>
      </c>
    </row>
    <row r="39">
      <c r="A39" s="10" t="str">
        <f>IFERROR(__xludf.DUMMYFUNCTION("""COMPUTED_VALUE"""),"BOX FILE BINDEX")</f>
        <v>BOX FILE BINDEX</v>
      </c>
      <c r="B39" s="6" t="str">
        <f>IFERROR(__xludf.DUMMYFUNCTION("""COMPUTED_VALUE"""),"A0038")</f>
        <v>A0038</v>
      </c>
      <c r="C39" s="7">
        <f>IFERROR(__xludf.DUMMYFUNCTION("""COMPUTED_VALUE"""),5.0)</f>
        <v>5</v>
      </c>
    </row>
    <row r="40">
      <c r="A40" s="10" t="str">
        <f>IFERROR(__xludf.DUMMYFUNCTION("""COMPUTED_VALUE"""),"PAPAN JALAN")</f>
        <v>PAPAN JALAN</v>
      </c>
      <c r="B40" s="6" t="str">
        <f>IFERROR(__xludf.DUMMYFUNCTION("""COMPUTED_VALUE"""),"A0039")</f>
        <v>A0039</v>
      </c>
      <c r="C40" s="7">
        <f>IFERROR(__xludf.DUMMYFUNCTION("""COMPUTED_VALUE"""),26.0)</f>
        <v>26</v>
      </c>
    </row>
    <row r="41">
      <c r="A41" s="10" t="str">
        <f>IFERROR(__xludf.DUMMYFUNCTION("""COMPUTED_VALUE"""),"SURAT LEMBURAN ")</f>
        <v>SURAT LEMBURAN </v>
      </c>
      <c r="B41" s="6" t="str">
        <f>IFERROR(__xludf.DUMMYFUNCTION("""COMPUTED_VALUE"""),"A0040")</f>
        <v>A0040</v>
      </c>
      <c r="C41" s="7">
        <f>IFERROR(__xludf.DUMMYFUNCTION("""COMPUTED_VALUE"""),16.0)</f>
        <v>16</v>
      </c>
    </row>
    <row r="42">
      <c r="A42" s="11" t="str">
        <f>IFERROR(__xludf.DUMMYFUNCTION("""COMPUTED_VALUE"""),"SUSU ")</f>
        <v>SUSU </v>
      </c>
      <c r="B42" s="6" t="str">
        <f>IFERROR(__xludf.DUMMYFUNCTION("""COMPUTED_VALUE"""),"A0041")</f>
        <v>A0041</v>
      </c>
      <c r="C42" s="7">
        <f>IFERROR(__xludf.DUMMYFUNCTION("""COMPUTED_VALUE"""),552.0)</f>
        <v>552</v>
      </c>
    </row>
    <row r="43">
      <c r="A43" s="11" t="str">
        <f>IFERROR(__xludf.DUMMYFUNCTION("""COMPUTED_VALUE"""),"AIR MINERAL")</f>
        <v>AIR MINERAL</v>
      </c>
      <c r="B43" s="6" t="str">
        <f>IFERROR(__xludf.DUMMYFUNCTION("""COMPUTED_VALUE"""),"A0042")</f>
        <v>A0042</v>
      </c>
      <c r="C43" s="7">
        <f>IFERROR(__xludf.DUMMYFUNCTION("""COMPUTED_VALUE"""),1656.0)</f>
        <v>1656</v>
      </c>
    </row>
    <row r="44">
      <c r="A44" s="11" t="str">
        <f>IFERROR(__xludf.DUMMYFUNCTION("""COMPUTED_VALUE"""),"TEH BOTOL")</f>
        <v>TEH BOTOL</v>
      </c>
      <c r="B44" s="6" t="str">
        <f>IFERROR(__xludf.DUMMYFUNCTION("""COMPUTED_VALUE"""),"A0043")</f>
        <v>A0043</v>
      </c>
      <c r="C44" s="7">
        <f>IFERROR(__xludf.DUMMYFUNCTION("""COMPUTED_VALUE"""),1176.0)</f>
        <v>1176</v>
      </c>
    </row>
    <row r="45">
      <c r="A45" s="9" t="str">
        <f>IFERROR(__xludf.DUMMYFUNCTION("""COMPUTED_VALUE"""),"KALKULATOR CITIZEN TYPE SDC 868 L")</f>
        <v>KALKULATOR CITIZEN TYPE SDC 868 L</v>
      </c>
      <c r="B45" s="6" t="str">
        <f>IFERROR(__xludf.DUMMYFUNCTION("""COMPUTED_VALUE"""),"A0044")</f>
        <v>A0044</v>
      </c>
      <c r="C45" s="7">
        <f>IFERROR(__xludf.DUMMYFUNCTION("""COMPUTED_VALUE"""),5.0)</f>
        <v>5</v>
      </c>
    </row>
    <row r="46">
      <c r="A46" s="9" t="str">
        <f>IFERROR(__xludf.DUMMYFUNCTION("""COMPUTED_VALUE"""),"DELI PENA MEJA PULPEN PEN SMILE DESK PEN STAND 0.7MM - HITAM")</f>
        <v>DELI PENA MEJA PULPEN PEN SMILE DESK PEN STAND 0.7MM - HITAM</v>
      </c>
      <c r="B46" s="6" t="str">
        <f>IFERROR(__xludf.DUMMYFUNCTION("""COMPUTED_VALUE"""),"A0045")</f>
        <v>A0045</v>
      </c>
      <c r="C46" s="7">
        <f>IFERROR(__xludf.DUMMYFUNCTION("""COMPUTED_VALUE"""),36.0)</f>
        <v>36</v>
      </c>
    </row>
    <row r="47">
      <c r="A47" s="12" t="str">
        <f>IFERROR(__xludf.DUMMYFUNCTION("""COMPUTED_VALUE"""),"TOPRON PEMBERSIH KERAMIK , PORCELAIN BOTOL 1 LITER ")</f>
        <v>TOPRON PEMBERSIH KERAMIK , PORCELAIN BOTOL 1 LITER </v>
      </c>
      <c r="B47" s="6" t="str">
        <f>IFERROR(__xludf.DUMMYFUNCTION("""COMPUTED_VALUE"""),"A0046")</f>
        <v>A0046</v>
      </c>
      <c r="C47" s="7">
        <f>IFERROR(__xludf.DUMMYFUNCTION("""COMPUTED_VALUE"""),9.0)</f>
        <v>9</v>
      </c>
    </row>
    <row r="48">
      <c r="A48" s="10" t="str">
        <f>IFERROR(__xludf.DUMMYFUNCTION("""COMPUTED_VALUE"""),"PORSTEX")</f>
        <v>PORSTEX</v>
      </c>
      <c r="B48" s="6" t="str">
        <f>IFERROR(__xludf.DUMMYFUNCTION("""COMPUTED_VALUE"""),"A0047")</f>
        <v>A0047</v>
      </c>
      <c r="C48" s="7">
        <f>IFERROR(__xludf.DUMMYFUNCTION("""COMPUTED_VALUE"""),9.0)</f>
        <v>9</v>
      </c>
    </row>
    <row r="49">
      <c r="A49" s="12" t="str">
        <f>IFERROR(__xludf.DUMMYFUNCTION("""COMPUTED_VALUE"""),"KOPI KAPAL API 380 GR")</f>
        <v>KOPI KAPAL API 380 GR</v>
      </c>
      <c r="B49" s="6" t="str">
        <f>IFERROR(__xludf.DUMMYFUNCTION("""COMPUTED_VALUE"""),"A0048")</f>
        <v>A0048</v>
      </c>
      <c r="C49" s="7">
        <f>IFERROR(__xludf.DUMMYFUNCTION("""COMPUTED_VALUE"""),0.0)</f>
        <v>0</v>
      </c>
    </row>
    <row r="50">
      <c r="A50" s="12" t="str">
        <f>IFERROR(__xludf.DUMMYFUNCTION("""COMPUTED_VALUE"""),"HAIRNET KAIN")</f>
        <v>HAIRNET KAIN</v>
      </c>
      <c r="B50" s="6" t="str">
        <f>IFERROR(__xludf.DUMMYFUNCTION("""COMPUTED_VALUE"""),"A0049")</f>
        <v>A0049</v>
      </c>
      <c r="C50" s="7">
        <f>IFERROR(__xludf.DUMMYFUNCTION("""COMPUTED_VALUE"""),28.0)</f>
        <v>28</v>
      </c>
    </row>
    <row r="51">
      <c r="A51" s="12" t="str">
        <f>IFERROR(__xludf.DUMMYFUNCTION("""COMPUTED_VALUE"""),"HAIRNET DISPOSABLE")</f>
        <v>HAIRNET DISPOSABLE</v>
      </c>
      <c r="B51" s="6" t="str">
        <f>IFERROR(__xludf.DUMMYFUNCTION("""COMPUTED_VALUE"""),"A0050")</f>
        <v>A0050</v>
      </c>
      <c r="C51" s="7">
        <f>IFERROR(__xludf.DUMMYFUNCTION("""COMPUTED_VALUE"""),0.0)</f>
        <v>0</v>
      </c>
    </row>
    <row r="52">
      <c r="A52" s="12" t="str">
        <f>IFERROR(__xludf.DUMMYFUNCTION("""COMPUTED_VALUE"""),"GULA PASIR")</f>
        <v>GULA PASIR</v>
      </c>
      <c r="B52" s="6" t="str">
        <f>IFERROR(__xludf.DUMMYFUNCTION("""COMPUTED_VALUE"""),"A0051")</f>
        <v>A0051</v>
      </c>
      <c r="C52" s="7">
        <f>IFERROR(__xludf.DUMMYFUNCTION("""COMPUTED_VALUE"""),2.0)</f>
        <v>2</v>
      </c>
    </row>
    <row r="53">
      <c r="A53" s="10" t="str">
        <f>IFERROR(__xludf.DUMMYFUNCTION("""COMPUTED_VALUE"""),"TISSUE")</f>
        <v>TISSUE</v>
      </c>
      <c r="B53" s="6" t="str">
        <f>IFERROR(__xludf.DUMMYFUNCTION("""COMPUTED_VALUE"""),"A0052")</f>
        <v>A0052</v>
      </c>
      <c r="C53" s="7">
        <f>IFERROR(__xludf.DUMMYFUNCTION("""COMPUTED_VALUE"""),58.0)</f>
        <v>58</v>
      </c>
    </row>
    <row r="54">
      <c r="A54" s="9" t="str">
        <f>IFERROR(__xludf.DUMMYFUNCTION("""COMPUTED_VALUE"""),"LATEX SARUNG TANGAN ")</f>
        <v>LATEX SARUNG TANGAN </v>
      </c>
      <c r="B54" s="6" t="str">
        <f>IFERROR(__xludf.DUMMYFUNCTION("""COMPUTED_VALUE"""),"A0053")</f>
        <v>A0053</v>
      </c>
      <c r="C54" s="7">
        <f>IFERROR(__xludf.DUMMYFUNCTION("""COMPUTED_VALUE"""),203.0)</f>
        <v>203</v>
      </c>
    </row>
    <row r="55">
      <c r="A55" s="9" t="str">
        <f>IFERROR(__xludf.DUMMYFUNCTION("""COMPUTED_VALUE"""),"MASKER")</f>
        <v>MASKER</v>
      </c>
      <c r="B55" s="6" t="str">
        <f>IFERROR(__xludf.DUMMYFUNCTION("""COMPUTED_VALUE"""),"A0054")</f>
        <v>A0054</v>
      </c>
      <c r="C55" s="7">
        <f>IFERROR(__xludf.DUMMYFUNCTION("""COMPUTED_VALUE"""),22.0)</f>
        <v>22</v>
      </c>
    </row>
    <row r="56">
      <c r="A56" s="10" t="str">
        <f>IFERROR(__xludf.DUMMYFUNCTION("""COMPUTED_VALUE"""),"SHUNTON P10 80GR - KAMPER ")</f>
        <v>SHUNTON P10 80GR - KAMPER </v>
      </c>
      <c r="B56" s="6" t="str">
        <f>IFERROR(__xludf.DUMMYFUNCTION("""COMPUTED_VALUE"""),"A0055")</f>
        <v>A0055</v>
      </c>
      <c r="C56" s="7">
        <f>IFERROR(__xludf.DUMMYFUNCTION("""COMPUTED_VALUE"""),22.0)</f>
        <v>22</v>
      </c>
    </row>
    <row r="57">
      <c r="A57" s="5" t="str">
        <f>IFERROR(__xludf.DUMMYFUNCTION("""COMPUTED_VALUE"""),"PLASTIK LAMINATIN ")</f>
        <v>PLASTIK LAMINATIN </v>
      </c>
      <c r="B57" s="6" t="str">
        <f>IFERROR(__xludf.DUMMYFUNCTION("""COMPUTED_VALUE"""),"A0056")</f>
        <v>A0056</v>
      </c>
      <c r="C57" s="7">
        <f>IFERROR(__xludf.DUMMYFUNCTION("""COMPUTED_VALUE"""),500.0)</f>
        <v>500</v>
      </c>
    </row>
    <row r="58">
      <c r="A58" s="9" t="str">
        <f>IFERROR(__xludf.DUMMYFUNCTION("""COMPUTED_VALUE"""),"TINTA PRINTER L3201 BIRU")</f>
        <v>TINTA PRINTER L3201 BIRU</v>
      </c>
      <c r="B58" s="6" t="str">
        <f>IFERROR(__xludf.DUMMYFUNCTION("""COMPUTED_VALUE"""),"A0057")</f>
        <v>A0057</v>
      </c>
      <c r="C58" s="7">
        <f>IFERROR(__xludf.DUMMYFUNCTION("""COMPUTED_VALUE"""),20.0)</f>
        <v>20</v>
      </c>
    </row>
    <row r="59">
      <c r="A59" s="9" t="str">
        <f>IFERROR(__xludf.DUMMYFUNCTION("""COMPUTED_VALUE"""),"TINTA PRINTER L3201 PINK")</f>
        <v>TINTA PRINTER L3201 PINK</v>
      </c>
      <c r="B59" s="6" t="str">
        <f>IFERROR(__xludf.DUMMYFUNCTION("""COMPUTED_VALUE"""),"A0058")</f>
        <v>A0058</v>
      </c>
      <c r="C59" s="7">
        <f>IFERROR(__xludf.DUMMYFUNCTION("""COMPUTED_VALUE"""),21.0)</f>
        <v>21</v>
      </c>
    </row>
    <row r="60">
      <c r="A60" s="9" t="str">
        <f>IFERROR(__xludf.DUMMYFUNCTION("""COMPUTED_VALUE"""),"TINTA PRINTER L3201 KUNING")</f>
        <v>TINTA PRINTER L3201 KUNING</v>
      </c>
      <c r="B60" s="6" t="str">
        <f>IFERROR(__xludf.DUMMYFUNCTION("""COMPUTED_VALUE"""),"A0059")</f>
        <v>A0059</v>
      </c>
      <c r="C60" s="7">
        <f>IFERROR(__xludf.DUMMYFUNCTION("""COMPUTED_VALUE"""),21.0)</f>
        <v>21</v>
      </c>
    </row>
    <row r="61">
      <c r="A61" s="9" t="str">
        <f>IFERROR(__xludf.DUMMYFUNCTION("""COMPUTED_VALUE"""),"TINTA PRINTER L3201 HITAM")</f>
        <v>TINTA PRINTER L3201 HITAM</v>
      </c>
      <c r="B61" s="6" t="str">
        <f>IFERROR(__xludf.DUMMYFUNCTION("""COMPUTED_VALUE"""),"A0060")</f>
        <v>A0060</v>
      </c>
      <c r="C61" s="7">
        <f>IFERROR(__xludf.DUMMYFUNCTION("""COMPUTED_VALUE"""),36.0)</f>
        <v>36</v>
      </c>
    </row>
    <row r="62">
      <c r="A62" s="9" t="str">
        <f>IFERROR(__xludf.DUMMYFUNCTION("""COMPUTED_VALUE"""),"TINTA STEMPEL")</f>
        <v>TINTA STEMPEL</v>
      </c>
      <c r="B62" s="6" t="str">
        <f>IFERROR(__xludf.DUMMYFUNCTION("""COMPUTED_VALUE"""),"A0061")</f>
        <v>A0061</v>
      </c>
      <c r="C62" s="7">
        <f>IFERROR(__xludf.DUMMYFUNCTION("""COMPUTED_VALUE"""),8.0)</f>
        <v>8</v>
      </c>
    </row>
    <row r="63">
      <c r="A63" s="9" t="str">
        <f>IFERROR(__xludf.DUMMYFUNCTION("""COMPUTED_VALUE"""),"TINTA LX-310")</f>
        <v>TINTA LX-310</v>
      </c>
      <c r="B63" s="6" t="str">
        <f>IFERROR(__xludf.DUMMYFUNCTION("""COMPUTED_VALUE"""),"A0062")</f>
        <v>A0062</v>
      </c>
      <c r="C63" s="7">
        <f>IFERROR(__xludf.DUMMYFUNCTION("""COMPUTED_VALUE"""),9.0)</f>
        <v>9</v>
      </c>
    </row>
    <row r="64">
      <c r="A64" s="9" t="str">
        <f>IFERROR(__xludf.DUMMYFUNCTION("""COMPUTED_VALUE"""),"LAMPU PHILIPS LEDTUBE 18 W")</f>
        <v>LAMPU PHILIPS LEDTUBE 18 W</v>
      </c>
      <c r="B64" s="6" t="str">
        <f>IFERROR(__xludf.DUMMYFUNCTION("""COMPUTED_VALUE"""),"A0063")</f>
        <v>A0063</v>
      </c>
      <c r="C64" s="7">
        <f>IFERROR(__xludf.DUMMYFUNCTION("""COMPUTED_VALUE"""),36.0)</f>
        <v>36</v>
      </c>
    </row>
    <row r="65">
      <c r="A65" s="9" t="str">
        <f>IFERROR(__xludf.DUMMYFUNCTION("""COMPUTED_VALUE"""),"HAND SANITIZER CAIR 5 LITER PURELIZER ASEPTIC 5L")</f>
        <v>HAND SANITIZER CAIR 5 LITER PURELIZER ASEPTIC 5L</v>
      </c>
      <c r="B65" s="6" t="str">
        <f>IFERROR(__xludf.DUMMYFUNCTION("""COMPUTED_VALUE"""),"A0064")</f>
        <v>A0064</v>
      </c>
      <c r="C65" s="7">
        <f>IFERROR(__xludf.DUMMYFUNCTION("""COMPUTED_VALUE"""),2.0)</f>
        <v>2</v>
      </c>
    </row>
    <row r="66">
      <c r="A66" s="13" t="str">
        <f>IFERROR(__xludf.DUMMYFUNCTION("""COMPUTED_VALUE"""),"SABUN LANTAI ")</f>
        <v>SABUN LANTAI </v>
      </c>
      <c r="B66" s="6" t="str">
        <f>IFERROR(__xludf.DUMMYFUNCTION("""COMPUTED_VALUE"""),"A0065")</f>
        <v>A0065</v>
      </c>
      <c r="C66" s="7">
        <f>IFERROR(__xludf.DUMMYFUNCTION("""COMPUTED_VALUE"""),15.0)</f>
        <v>15</v>
      </c>
    </row>
    <row r="67">
      <c r="A67" s="13" t="str">
        <f>IFERROR(__xludf.DUMMYFUNCTION("""COMPUTED_VALUE"""),"SABUN CUCI PIRING ")</f>
        <v>SABUN CUCI PIRING </v>
      </c>
      <c r="B67" s="6" t="str">
        <f>IFERROR(__xludf.DUMMYFUNCTION("""COMPUTED_VALUE"""),"A0066")</f>
        <v>A0066</v>
      </c>
      <c r="C67" s="7">
        <f>IFERROR(__xludf.DUMMYFUNCTION("""COMPUTED_VALUE"""),8.0)</f>
        <v>8</v>
      </c>
    </row>
    <row r="68">
      <c r="A68" s="13" t="str">
        <f>IFERROR(__xludf.DUMMYFUNCTION("""COMPUTED_VALUE"""),"SABUN CUCI TANGAN")</f>
        <v>SABUN CUCI TANGAN</v>
      </c>
      <c r="B68" s="6" t="str">
        <f>IFERROR(__xludf.DUMMYFUNCTION("""COMPUTED_VALUE"""),"A0067")</f>
        <v>A0067</v>
      </c>
      <c r="C68" s="7">
        <f>IFERROR(__xludf.DUMMYFUNCTION("""COMPUTED_VALUE"""),22.0)</f>
        <v>22</v>
      </c>
    </row>
    <row r="69">
      <c r="A69" s="13" t="str">
        <f>IFERROR(__xludf.DUMMYFUNCTION("""COMPUTED_VALUE"""),"DETERJEN PEWANGI PAKAIAN")</f>
        <v>DETERJEN PEWANGI PAKAIAN</v>
      </c>
      <c r="B69" s="6" t="str">
        <f>IFERROR(__xludf.DUMMYFUNCTION("""COMPUTED_VALUE"""),"A0068")</f>
        <v>A0068</v>
      </c>
      <c r="C69" s="7">
        <f>IFERROR(__xludf.DUMMYFUNCTION("""COMPUTED_VALUE"""),0.0)</f>
        <v>0</v>
      </c>
    </row>
    <row r="70">
      <c r="A70" s="13" t="str">
        <f>IFERROR(__xludf.DUMMYFUNCTION("""COMPUTED_VALUE"""),"DETERJEN CAIR")</f>
        <v>DETERJEN CAIR</v>
      </c>
      <c r="B70" s="6" t="str">
        <f>IFERROR(__xludf.DUMMYFUNCTION("""COMPUTED_VALUE"""),"A0069")</f>
        <v>A0069</v>
      </c>
      <c r="C70" s="7">
        <f>IFERROR(__xludf.DUMMYFUNCTION("""COMPUTED_VALUE"""),0.0)</f>
        <v>0</v>
      </c>
    </row>
    <row r="71">
      <c r="A71" s="13" t="str">
        <f>IFERROR(__xludf.DUMMYFUNCTION("""COMPUTED_VALUE"""),"STICKY NOTE")</f>
        <v>STICKY NOTE</v>
      </c>
      <c r="B71" s="6" t="str">
        <f>IFERROR(__xludf.DUMMYFUNCTION("""COMPUTED_VALUE"""),"A0070")</f>
        <v>A0070</v>
      </c>
      <c r="C71" s="7">
        <f>IFERROR(__xludf.DUMMYFUNCTION("""COMPUTED_VALUE"""),3.0)</f>
        <v>3</v>
      </c>
    </row>
    <row r="72">
      <c r="A72" s="13" t="str">
        <f>IFERROR(__xludf.DUMMYFUNCTION("""COMPUTED_VALUE"""),"BETADINE")</f>
        <v>BETADINE</v>
      </c>
      <c r="B72" s="6" t="str">
        <f>IFERROR(__xludf.DUMMYFUNCTION("""COMPUTED_VALUE"""),"A0071")</f>
        <v>A0071</v>
      </c>
      <c r="C72" s="7">
        <f>IFERROR(__xludf.DUMMYFUNCTION("""COMPUTED_VALUE"""),14.0)</f>
        <v>14</v>
      </c>
    </row>
    <row r="73">
      <c r="A73" s="10" t="str">
        <f>IFERROR(__xludf.DUMMYFUNCTION("""COMPUTED_VALUE"""),"KAIN KASA")</f>
        <v>KAIN KASA</v>
      </c>
      <c r="B73" s="6" t="str">
        <f>IFERROR(__xludf.DUMMYFUNCTION("""COMPUTED_VALUE"""),"A0072")</f>
        <v>A0072</v>
      </c>
      <c r="C73" s="7">
        <f>IFERROR(__xludf.DUMMYFUNCTION("""COMPUTED_VALUE"""),5.0)</f>
        <v>5</v>
      </c>
    </row>
    <row r="74">
      <c r="A74" s="5" t="str">
        <f>IFERROR(__xludf.DUMMYFUNCTION("""COMPUTED_VALUE"""),"OBAT MAAG")</f>
        <v>OBAT MAAG</v>
      </c>
      <c r="B74" s="6" t="str">
        <f>IFERROR(__xludf.DUMMYFUNCTION("""COMPUTED_VALUE"""),"A0073")</f>
        <v>A0073</v>
      </c>
      <c r="C74" s="7">
        <f>IFERROR(__xludf.DUMMYFUNCTION("""COMPUTED_VALUE"""),0.0)</f>
        <v>0</v>
      </c>
    </row>
    <row r="75">
      <c r="A75" s="10" t="str">
        <f>IFERROR(__xludf.DUMMYFUNCTION("""COMPUTED_VALUE"""),"MINYAK KAYU PUTIH")</f>
        <v>MINYAK KAYU PUTIH</v>
      </c>
      <c r="B75" s="6" t="str">
        <f>IFERROR(__xludf.DUMMYFUNCTION("""COMPUTED_VALUE"""),"A0074")</f>
        <v>A0074</v>
      </c>
      <c r="C75" s="7">
        <f>IFERROR(__xludf.DUMMYFUNCTION("""COMPUTED_VALUE"""),4.0)</f>
        <v>4</v>
      </c>
    </row>
    <row r="76">
      <c r="A76" s="10" t="str">
        <f>IFERROR(__xludf.DUMMYFUNCTION("""COMPUTED_VALUE"""),"HANDSPLAST WARNA WARNI")</f>
        <v>HANDSPLAST WARNA WARNI</v>
      </c>
      <c r="B76" s="6" t="str">
        <f>IFERROR(__xludf.DUMMYFUNCTION("""COMPUTED_VALUE"""),"A0075")</f>
        <v>A0075</v>
      </c>
      <c r="C76" s="7">
        <f>IFERROR(__xludf.DUMMYFUNCTION("""COMPUTED_VALUE"""),8.0)</f>
        <v>8</v>
      </c>
    </row>
    <row r="77">
      <c r="A77" s="5" t="str">
        <f>IFERROR(__xludf.DUMMYFUNCTION("""COMPUTED_VALUE"""),"RIVANOL")</f>
        <v>RIVANOL</v>
      </c>
      <c r="B77" s="6" t="str">
        <f>IFERROR(__xludf.DUMMYFUNCTION("""COMPUTED_VALUE"""),"A0076")</f>
        <v>A0076</v>
      </c>
      <c r="C77" s="7">
        <f>IFERROR(__xludf.DUMMYFUNCTION("""COMPUTED_VALUE"""),24.0)</f>
        <v>24</v>
      </c>
    </row>
    <row r="78">
      <c r="A78" s="5" t="str">
        <f>IFERROR(__xludf.DUMMYFUNCTION("""COMPUTED_VALUE"""),"ALKOHOL 70 % 100ML")</f>
        <v>ALKOHOL 70 % 100ML</v>
      </c>
      <c r="B78" s="6" t="str">
        <f>IFERROR(__xludf.DUMMYFUNCTION("""COMPUTED_VALUE"""),"A0077")</f>
        <v>A0077</v>
      </c>
      <c r="C78" s="7">
        <f>IFERROR(__xludf.DUMMYFUNCTION("""COMPUTED_VALUE"""),10.0)</f>
        <v>10</v>
      </c>
    </row>
    <row r="79">
      <c r="A79" s="10" t="str">
        <f>IFERROR(__xludf.DUMMYFUNCTION("""COMPUTED_VALUE"""),"KAPAS PEMBALUT")</f>
        <v>KAPAS PEMBALUT</v>
      </c>
      <c r="B79" s="6" t="str">
        <f>IFERROR(__xludf.DUMMYFUNCTION("""COMPUTED_VALUE"""),"A0078")</f>
        <v>A0078</v>
      </c>
      <c r="C79" s="7">
        <f>IFERROR(__xludf.DUMMYFUNCTION("""COMPUTED_VALUE"""),14.0)</f>
        <v>14</v>
      </c>
    </row>
    <row r="80">
      <c r="A80" s="10" t="str">
        <f>IFERROR(__xludf.DUMMYFUNCTION("""COMPUTED_VALUE"""),"SAPU LANTAI")</f>
        <v>SAPU LANTAI</v>
      </c>
      <c r="B80" s="6" t="str">
        <f>IFERROR(__xludf.DUMMYFUNCTION("""COMPUTED_VALUE"""),"A0079")</f>
        <v>A0079</v>
      </c>
      <c r="C80" s="7">
        <f>IFERROR(__xludf.DUMMYFUNCTION("""COMPUTED_VALUE"""),0.0)</f>
        <v>0</v>
      </c>
    </row>
    <row r="81">
      <c r="A81" s="10" t="str">
        <f>IFERROR(__xludf.DUMMYFUNCTION("""COMPUTED_VALUE"""),"SAPU LOBBY")</f>
        <v>SAPU LOBBY</v>
      </c>
      <c r="B81" s="6" t="str">
        <f>IFERROR(__xludf.DUMMYFUNCTION("""COMPUTED_VALUE"""),"A0080")</f>
        <v>A0080</v>
      </c>
      <c r="C81" s="7">
        <f>IFERROR(__xludf.DUMMYFUNCTION("""COMPUTED_VALUE"""),5.0)</f>
        <v>5</v>
      </c>
    </row>
    <row r="82">
      <c r="A82" s="10" t="str">
        <f>IFERROR(__xludf.DUMMYFUNCTION("""COMPUTED_VALUE"""),"SAPU LIDI")</f>
        <v>SAPU LIDI</v>
      </c>
      <c r="B82" s="6" t="str">
        <f>IFERROR(__xludf.DUMMYFUNCTION("""COMPUTED_VALUE"""),"A0081")</f>
        <v>A0081</v>
      </c>
      <c r="C82" s="7">
        <f>IFERROR(__xludf.DUMMYFUNCTION("""COMPUTED_VALUE"""),5.0)</f>
        <v>5</v>
      </c>
    </row>
    <row r="83">
      <c r="A83" s="10" t="str">
        <f>IFERROR(__xludf.DUMMYFUNCTION("""COMPUTED_VALUE"""),"SAPU SAWANG")</f>
        <v>SAPU SAWANG</v>
      </c>
      <c r="B83" s="6" t="str">
        <f>IFERROR(__xludf.DUMMYFUNCTION("""COMPUTED_VALUE"""),"A0082")</f>
        <v>A0082</v>
      </c>
      <c r="C83" s="7">
        <f>IFERROR(__xludf.DUMMYFUNCTION("""COMPUTED_VALUE"""),2.0)</f>
        <v>2</v>
      </c>
    </row>
    <row r="84">
      <c r="A84" s="10" t="str">
        <f>IFERROR(__xludf.DUMMYFUNCTION("""COMPUTED_VALUE"""),"PENGKI")</f>
        <v>PENGKI</v>
      </c>
      <c r="B84" s="6" t="str">
        <f>IFERROR(__xludf.DUMMYFUNCTION("""COMPUTED_VALUE"""),"A0083")</f>
        <v>A0083</v>
      </c>
      <c r="C84" s="7">
        <f>IFERROR(__xludf.DUMMYFUNCTION("""COMPUTED_VALUE"""),7.0)</f>
        <v>7</v>
      </c>
    </row>
    <row r="85">
      <c r="A85" s="9" t="str">
        <f>IFERROR(__xludf.DUMMYFUNCTION("""COMPUTED_VALUE"""),"PEL - PELAN")</f>
        <v>PEL - PELAN</v>
      </c>
      <c r="B85" s="6" t="str">
        <f>IFERROR(__xludf.DUMMYFUNCTION("""COMPUTED_VALUE"""),"A0084")</f>
        <v>A0084</v>
      </c>
      <c r="C85" s="7">
        <f>IFERROR(__xludf.DUMMYFUNCTION("""COMPUTED_VALUE"""),12.0)</f>
        <v>12</v>
      </c>
    </row>
    <row r="86">
      <c r="A86" s="9" t="str">
        <f>IFERROR(__xludf.DUMMYFUNCTION("""COMPUTED_VALUE"""),"EMBER")</f>
        <v>EMBER</v>
      </c>
      <c r="B86" s="6" t="str">
        <f>IFERROR(__xludf.DUMMYFUNCTION("""COMPUTED_VALUE"""),"A0085")</f>
        <v>A0085</v>
      </c>
      <c r="C86" s="7">
        <f>IFERROR(__xludf.DUMMYFUNCTION("""COMPUTED_VALUE"""),6.0)</f>
        <v>6</v>
      </c>
    </row>
    <row r="87">
      <c r="A87" s="9" t="str">
        <f>IFERROR(__xludf.DUMMYFUNCTION("""COMPUTED_VALUE"""),"GAYUNG")</f>
        <v>GAYUNG</v>
      </c>
      <c r="B87" s="6" t="str">
        <f>IFERROR(__xludf.DUMMYFUNCTION("""COMPUTED_VALUE"""),"A0086")</f>
        <v>A0086</v>
      </c>
      <c r="C87" s="7">
        <f>IFERROR(__xludf.DUMMYFUNCTION("""COMPUTED_VALUE"""),0.0)</f>
        <v>0</v>
      </c>
    </row>
    <row r="88">
      <c r="A88" s="9" t="str">
        <f>IFERROR(__xludf.DUMMYFUNCTION("""COMPUTED_VALUE"""),"GANTUNGAN SAPU 5 SLOT")</f>
        <v>GANTUNGAN SAPU 5 SLOT</v>
      </c>
      <c r="B88" s="6" t="str">
        <f>IFERROR(__xludf.DUMMYFUNCTION("""COMPUTED_VALUE"""),"A0087")</f>
        <v>A0087</v>
      </c>
      <c r="C88" s="7">
        <f>IFERROR(__xludf.DUMMYFUNCTION("""COMPUTED_VALUE"""),12.0)</f>
        <v>12</v>
      </c>
    </row>
    <row r="89">
      <c r="A89" s="9" t="str">
        <f>IFERROR(__xludf.DUMMYFUNCTION("""COMPUTED_VALUE"""),"PAYUNG")</f>
        <v>PAYUNG</v>
      </c>
      <c r="B89" s="6" t="str">
        <f>IFERROR(__xludf.DUMMYFUNCTION("""COMPUTED_VALUE"""),"A0088")</f>
        <v>A0088</v>
      </c>
      <c r="C89" s="7">
        <f>IFERROR(__xludf.DUMMYFUNCTION("""COMPUTED_VALUE"""),2.0)</f>
        <v>2</v>
      </c>
    </row>
    <row r="90">
      <c r="A90" s="9" t="str">
        <f>IFERROR(__xludf.DUMMYFUNCTION("""COMPUTED_VALUE"""),"PLASTIK SAMPAH")</f>
        <v>PLASTIK SAMPAH</v>
      </c>
      <c r="B90" s="6" t="str">
        <f>IFERROR(__xludf.DUMMYFUNCTION("""COMPUTED_VALUE"""),"A0089")</f>
        <v>A0089</v>
      </c>
      <c r="C90" s="7">
        <f>IFERROR(__xludf.DUMMYFUNCTION("""COMPUTED_VALUE"""),0.0)</f>
        <v>0</v>
      </c>
    </row>
    <row r="91">
      <c r="A91" s="9" t="str">
        <f>IFERROR(__xludf.DUMMYFUNCTION("""COMPUTED_VALUE"""),"ISI PULPEN DELI")</f>
        <v>ISI PULPEN DELI</v>
      </c>
      <c r="B91" s="6" t="str">
        <f>IFERROR(__xludf.DUMMYFUNCTION("""COMPUTED_VALUE"""),"A0090")</f>
        <v>A0090</v>
      </c>
      <c r="C91" s="7">
        <f>IFERROR(__xludf.DUMMYFUNCTION("""COMPUTED_VALUE"""),18.0)</f>
        <v>18</v>
      </c>
    </row>
    <row r="92">
      <c r="A92" s="10" t="str">
        <f>IFERROR(__xludf.DUMMYFUNCTION("""COMPUTED_VALUE"""),"KOTAK TISSUE")</f>
        <v>KOTAK TISSUE</v>
      </c>
      <c r="B92" s="6" t="str">
        <f>IFERROR(__xludf.DUMMYFUNCTION("""COMPUTED_VALUE"""),"A0091")</f>
        <v>A0091</v>
      </c>
      <c r="C92" s="7">
        <f>IFERROR(__xludf.DUMMYFUNCTION("""COMPUTED_VALUE"""),11.0)</f>
        <v>11</v>
      </c>
    </row>
    <row r="93">
      <c r="A93" s="10" t="str">
        <f>IFERROR(__xludf.DUMMYFUNCTION("""COMPUTED_VALUE"""),"KOTAK OBAT")</f>
        <v>KOTAK OBAT</v>
      </c>
      <c r="B93" s="6" t="str">
        <f>IFERROR(__xludf.DUMMYFUNCTION("""COMPUTED_VALUE"""),"A0092")</f>
        <v>A0092</v>
      </c>
      <c r="C93" s="7">
        <f>IFERROR(__xludf.DUMMYFUNCTION("""COMPUTED_VALUE"""),10.0)</f>
        <v>10</v>
      </c>
    </row>
    <row r="94">
      <c r="A94" s="10" t="str">
        <f>IFERROR(__xludf.DUMMYFUNCTION("""COMPUTED_VALUE"""),"BISNIS FILE ")</f>
        <v>BISNIS FILE </v>
      </c>
      <c r="B94" s="6" t="str">
        <f>IFERROR(__xludf.DUMMYFUNCTION("""COMPUTED_VALUE"""),"A0092")</f>
        <v>A0092</v>
      </c>
      <c r="C94" s="7">
        <f>IFERROR(__xludf.DUMMYFUNCTION("""COMPUTED_VALUE"""),0.0)</f>
        <v>0</v>
      </c>
    </row>
    <row r="95">
      <c r="A95" s="10" t="str">
        <f>IFERROR(__xludf.DUMMYFUNCTION("""COMPUTED_VALUE"""),"TRIGONAL")</f>
        <v>TRIGONAL</v>
      </c>
      <c r="B95" s="6" t="str">
        <f>IFERROR(__xludf.DUMMYFUNCTION("""COMPUTED_VALUE"""),"A0093")</f>
        <v>A0093</v>
      </c>
      <c r="C95" s="7">
        <f>IFERROR(__xludf.DUMMYFUNCTION("""COMPUTED_VALUE"""),42.0)</f>
        <v>42</v>
      </c>
    </row>
    <row r="96">
      <c r="A96" s="10" t="str">
        <f>IFERROR(__xludf.DUMMYFUNCTION("""COMPUTED_VALUE"""),"BIOPLASENTO")</f>
        <v>BIOPLASENTO</v>
      </c>
      <c r="B96" s="6" t="str">
        <f>IFERROR(__xludf.DUMMYFUNCTION("""COMPUTED_VALUE"""),"A0094")</f>
        <v>A0094</v>
      </c>
      <c r="C96" s="7">
        <f>IFERROR(__xludf.DUMMYFUNCTION("""COMPUTED_VALUE"""),1.0)</f>
        <v>1</v>
      </c>
    </row>
    <row r="97">
      <c r="A97" s="10" t="str">
        <f>IFERROR(__xludf.DUMMYFUNCTION("""COMPUTED_VALUE"""),"PARACETAMOL")</f>
        <v>PARACETAMOL</v>
      </c>
      <c r="B97" s="6" t="str">
        <f>IFERROR(__xludf.DUMMYFUNCTION("""COMPUTED_VALUE"""),"A0095")</f>
        <v>A0095</v>
      </c>
      <c r="C97" s="7">
        <f>IFERROR(__xludf.DUMMYFUNCTION("""COMPUTED_VALUE"""),31.0)</f>
        <v>31</v>
      </c>
    </row>
    <row r="98">
      <c r="A98" s="10" t="str">
        <f>IFERROR(__xludf.DUMMYFUNCTION("""COMPUTED_VALUE"""),"OBAT MATA Y-RINS")</f>
        <v>OBAT MATA Y-RINS</v>
      </c>
      <c r="B98" s="6" t="str">
        <f>IFERROR(__xludf.DUMMYFUNCTION("""COMPUTED_VALUE"""),"A0096")</f>
        <v>A0096</v>
      </c>
      <c r="C98" s="7">
        <f>IFERROR(__xludf.DUMMYFUNCTION("""COMPUTED_VALUE"""),1.0)</f>
        <v>1</v>
      </c>
    </row>
    <row r="99">
      <c r="A99" s="10" t="str">
        <f>IFERROR(__xludf.DUMMYFUNCTION("""COMPUTED_VALUE"""),"KWITANSI")</f>
        <v>KWITANSI</v>
      </c>
      <c r="B99" s="6" t="str">
        <f>IFERROR(__xludf.DUMMYFUNCTION("""COMPUTED_VALUE"""),"A0097")</f>
        <v>A0097</v>
      </c>
      <c r="C99" s="7">
        <f>IFERROR(__xludf.DUMMYFUNCTION("""COMPUTED_VALUE"""),24.0)</f>
        <v>24</v>
      </c>
    </row>
    <row r="100">
      <c r="A100" s="10" t="str">
        <f>IFERROR(__xludf.DUMMYFUNCTION("""COMPUTED_VALUE"""),"BUKU TULIS")</f>
        <v>BUKU TULIS</v>
      </c>
      <c r="B100" s="6" t="str">
        <f>IFERROR(__xludf.DUMMYFUNCTION("""COMPUTED_VALUE"""),"A0098")</f>
        <v>A0098</v>
      </c>
      <c r="C100" s="7">
        <f>IFERROR(__xludf.DUMMYFUNCTION("""COMPUTED_VALUE"""),32.0)</f>
        <v>32</v>
      </c>
    </row>
    <row r="101">
      <c r="A101" s="10" t="str">
        <f>IFERROR(__xludf.DUMMYFUNCTION("""COMPUTED_VALUE"""),"BUKU FOLIO")</f>
        <v>BUKU FOLIO</v>
      </c>
      <c r="B101" s="6" t="str">
        <f>IFERROR(__xludf.DUMMYFUNCTION("""COMPUTED_VALUE"""),"A0099")</f>
        <v>A0099</v>
      </c>
      <c r="C101" s="7">
        <f>IFERROR(__xludf.DUMMYFUNCTION("""COMPUTED_VALUE"""),2.0)</f>
        <v>2</v>
      </c>
    </row>
    <row r="102">
      <c r="A102" s="10" t="str">
        <f>IFERROR(__xludf.DUMMYFUNCTION("""COMPUTED_VALUE"""),"NOTA")</f>
        <v>NOTA</v>
      </c>
      <c r="B102" s="6" t="str">
        <f>IFERROR(__xludf.DUMMYFUNCTION("""COMPUTED_VALUE"""),"A0100")</f>
        <v>A0100</v>
      </c>
      <c r="C102" s="7">
        <f>IFERROR(__xludf.DUMMYFUNCTION("""COMPUTED_VALUE"""),29.0)</f>
        <v>29</v>
      </c>
    </row>
    <row r="103">
      <c r="A103" s="10" t="str">
        <f>IFERROR(__xludf.DUMMYFUNCTION("""COMPUTED_VALUE"""),"SEMPROTAN AIR")</f>
        <v>SEMPROTAN AIR</v>
      </c>
      <c r="B103" s="6" t="str">
        <f>IFERROR(__xludf.DUMMYFUNCTION("""COMPUTED_VALUE"""),"A0101")</f>
        <v>A0101</v>
      </c>
      <c r="C103" s="7">
        <f>IFERROR(__xludf.DUMMYFUNCTION("""COMPUTED_VALUE"""),25.0)</f>
        <v>25</v>
      </c>
    </row>
    <row r="104">
      <c r="A104" s="10" t="str">
        <f>IFERROR(__xludf.DUMMYFUNCTION("""COMPUTED_VALUE"""),"EM4 PERTANIAN")</f>
        <v>EM4 PERTANIAN</v>
      </c>
      <c r="B104" s="6" t="str">
        <f>IFERROR(__xludf.DUMMYFUNCTION("""COMPUTED_VALUE"""),"A0102")</f>
        <v>A0102</v>
      </c>
      <c r="C104" s="7">
        <f>IFERROR(__xludf.DUMMYFUNCTION("""COMPUTED_VALUE"""),11.0)</f>
        <v>11</v>
      </c>
    </row>
    <row r="105">
      <c r="A105" s="10" t="str">
        <f>IFERROR(__xludf.DUMMYFUNCTION("""COMPUTED_VALUE"""),"EM4 LIMBAH ORGANIK")</f>
        <v>EM4 LIMBAH ORGANIK</v>
      </c>
      <c r="B105" s="6" t="str">
        <f>IFERROR(__xludf.DUMMYFUNCTION("""COMPUTED_VALUE"""),"A0103")</f>
        <v>A0103</v>
      </c>
      <c r="C105" s="7">
        <f>IFERROR(__xludf.DUMMYFUNCTION("""COMPUTED_VALUE"""),9.0)</f>
        <v>9</v>
      </c>
    </row>
    <row r="106">
      <c r="A106" s="10" t="str">
        <f>IFERROR(__xludf.DUMMYFUNCTION("""COMPUTED_VALUE"""),"BAYGON")</f>
        <v>BAYGON</v>
      </c>
      <c r="B106" s="6" t="str">
        <f>IFERROR(__xludf.DUMMYFUNCTION("""COMPUTED_VALUE"""),"A0104")</f>
        <v>A0104</v>
      </c>
      <c r="C106" s="7">
        <f>IFERROR(__xludf.DUMMYFUNCTION("""COMPUTED_VALUE"""),18.0)</f>
        <v>18</v>
      </c>
    </row>
    <row r="107">
      <c r="A107" s="10" t="str">
        <f>IFERROR(__xludf.DUMMYFUNCTION("""COMPUTED_VALUE"""),"KUAS ROLL BULU KECIL 4INC")</f>
        <v>KUAS ROLL BULU KECIL 4INC</v>
      </c>
      <c r="B107" s="6" t="str">
        <f>IFERROR(__xludf.DUMMYFUNCTION("""COMPUTED_VALUE"""),"A0105")</f>
        <v>A0105</v>
      </c>
      <c r="C107" s="7">
        <f>IFERROR(__xludf.DUMMYFUNCTION("""COMPUTED_VALUE"""),10.0)</f>
        <v>10</v>
      </c>
    </row>
    <row r="108">
      <c r="A108" s="10" t="str">
        <f>IFERROR(__xludf.DUMMYFUNCTION("""COMPUTED_VALUE"""),"KUAS ROLL BULU BESAR 9INC")</f>
        <v>KUAS ROLL BULU BESAR 9INC</v>
      </c>
      <c r="B108" s="6" t="str">
        <f>IFERROR(__xludf.DUMMYFUNCTION("""COMPUTED_VALUE"""),"A0106")</f>
        <v>A0106</v>
      </c>
      <c r="C108" s="7">
        <f>IFERROR(__xludf.DUMMYFUNCTION("""COMPUTED_VALUE"""),10.0)</f>
        <v>10</v>
      </c>
    </row>
    <row r="109">
      <c r="A109" s="10" t="str">
        <f>IFERROR(__xludf.DUMMYFUNCTION("""COMPUTED_VALUE"""),"KUAS UKURAN 2 INC")</f>
        <v>KUAS UKURAN 2 INC</v>
      </c>
      <c r="B109" s="6" t="str">
        <f>IFERROR(__xludf.DUMMYFUNCTION("""COMPUTED_VALUE"""),"A0107")</f>
        <v>A0107</v>
      </c>
      <c r="C109" s="7">
        <f>IFERROR(__xludf.DUMMYFUNCTION("""COMPUTED_VALUE"""),13.0)</f>
        <v>13</v>
      </c>
    </row>
    <row r="110">
      <c r="A110" s="10" t="str">
        <f>IFERROR(__xludf.DUMMYFUNCTION("""COMPUTED_VALUE"""),"KUAS UKURAN 3 INC")</f>
        <v>KUAS UKURAN 3 INC</v>
      </c>
      <c r="B110" s="6" t="str">
        <f>IFERROR(__xludf.DUMMYFUNCTION("""COMPUTED_VALUE"""),"A0108")</f>
        <v>A0108</v>
      </c>
      <c r="C110" s="7">
        <f>IFERROR(__xludf.DUMMYFUNCTION("""COMPUTED_VALUE"""),16.0)</f>
        <v>16</v>
      </c>
    </row>
    <row r="111">
      <c r="A111" s="10" t="str">
        <f>IFERROR(__xludf.DUMMYFUNCTION("""COMPUTED_VALUE"""),"CAT TEMBOK ARIES ( WHITE) 25 KG")</f>
        <v>CAT TEMBOK ARIES ( WHITE) 25 KG</v>
      </c>
      <c r="B111" s="6" t="str">
        <f>IFERROR(__xludf.DUMMYFUNCTION("""COMPUTED_VALUE"""),"A0109")</f>
        <v>A0109</v>
      </c>
      <c r="C111" s="7">
        <f>IFERROR(__xludf.DUMMYFUNCTION("""COMPUTED_VALUE"""),0.0)</f>
        <v>0</v>
      </c>
    </row>
    <row r="112">
      <c r="A112" s="10" t="str">
        <f>IFERROR(__xludf.DUMMYFUNCTION("""COMPUTED_VALUE"""),"CAT TEMBOK ARIES ( WHITE) 5 KG")</f>
        <v>CAT TEMBOK ARIES ( WHITE) 5 KG</v>
      </c>
      <c r="B112" s="6" t="str">
        <f>IFERROR(__xludf.DUMMYFUNCTION("""COMPUTED_VALUE"""),"A0110")</f>
        <v>A0110</v>
      </c>
      <c r="C112" s="7">
        <f>IFERROR(__xludf.DUMMYFUNCTION("""COMPUTED_VALUE"""),2.0)</f>
        <v>2</v>
      </c>
    </row>
    <row r="113">
      <c r="A113" s="10" t="str">
        <f>IFERROR(__xludf.DUMMYFUNCTION("""COMPUTED_VALUE"""),"CAT ANTI KARAT")</f>
        <v>CAT ANTI KARAT</v>
      </c>
      <c r="B113" s="6" t="str">
        <f>IFERROR(__xludf.DUMMYFUNCTION("""COMPUTED_VALUE"""),"A0111")</f>
        <v>A0111</v>
      </c>
      <c r="C113" s="7">
        <f>IFERROR(__xludf.DUMMYFUNCTION("""COMPUTED_VALUE"""),7.0)</f>
        <v>7</v>
      </c>
    </row>
    <row r="114">
      <c r="A114" s="10" t="str">
        <f>IFERROR(__xludf.DUMMYFUNCTION("""COMPUTED_VALUE"""),"FLASHBAND")</f>
        <v>FLASHBAND</v>
      </c>
      <c r="B114" s="6" t="str">
        <f>IFERROR(__xludf.DUMMYFUNCTION("""COMPUTED_VALUE"""),"A0112")</f>
        <v>A0112</v>
      </c>
      <c r="C114" s="7">
        <f>IFERROR(__xludf.DUMMYFUNCTION("""COMPUTED_VALUE"""),8.0)</f>
        <v>8</v>
      </c>
    </row>
    <row r="115">
      <c r="A115" s="10" t="str">
        <f>IFERROR(__xludf.DUMMYFUNCTION("""COMPUTED_VALUE"""),"ASPAL CAIR")</f>
        <v>ASPAL CAIR</v>
      </c>
      <c r="B115" s="6" t="str">
        <f>IFERROR(__xludf.DUMMYFUNCTION("""COMPUTED_VALUE"""),"A0113")</f>
        <v>A0113</v>
      </c>
      <c r="C115" s="7">
        <f>IFERROR(__xludf.DUMMYFUNCTION("""COMPUTED_VALUE"""),3.0)</f>
        <v>3</v>
      </c>
    </row>
    <row r="116">
      <c r="A116" s="10" t="str">
        <f>IFERROR(__xludf.DUMMYFUNCTION("""COMPUTED_VALUE"""),"SERAT FIBER ANTI BOCOR")</f>
        <v>SERAT FIBER ANTI BOCOR</v>
      </c>
      <c r="B116" s="6" t="str">
        <f>IFERROR(__xludf.DUMMYFUNCTION("""COMPUTED_VALUE"""),"A0114")</f>
        <v>A0114</v>
      </c>
      <c r="C116" s="7">
        <f>IFERROR(__xludf.DUMMYFUNCTION("""COMPUTED_VALUE"""),15.0)</f>
        <v>15</v>
      </c>
    </row>
    <row r="117">
      <c r="A117" s="10" t="str">
        <f>IFERROR(__xludf.DUMMYFUNCTION("""COMPUTED_VALUE"""),"AQUAPROOF")</f>
        <v>AQUAPROOF</v>
      </c>
      <c r="B117" s="6" t="str">
        <f>IFERROR(__xludf.DUMMYFUNCTION("""COMPUTED_VALUE"""),"A0115")</f>
        <v>A0115</v>
      </c>
      <c r="C117" s="7">
        <f>IFERROR(__xludf.DUMMYFUNCTION("""COMPUTED_VALUE"""),8.0)</f>
        <v>8</v>
      </c>
    </row>
    <row r="118">
      <c r="A118" s="10" t="str">
        <f>IFERROR(__xludf.DUMMYFUNCTION("""COMPUTED_VALUE"""),"SEALANT")</f>
        <v>SEALANT</v>
      </c>
      <c r="B118" s="6" t="str">
        <f>IFERROR(__xludf.DUMMYFUNCTION("""COMPUTED_VALUE"""),"A0116")</f>
        <v>A0116</v>
      </c>
      <c r="C118" s="7">
        <f>IFERROR(__xludf.DUMMYFUNCTION("""COMPUTED_VALUE"""),2.0)</f>
        <v>2</v>
      </c>
    </row>
    <row r="119">
      <c r="A119" s="10" t="str">
        <f>IFERROR(__xludf.DUMMYFUNCTION("""COMPUTED_VALUE"""),"PILOX WARNA BIRU")</f>
        <v>PILOX WARNA BIRU</v>
      </c>
      <c r="B119" s="6" t="str">
        <f>IFERROR(__xludf.DUMMYFUNCTION("""COMPUTED_VALUE"""),"A0117")</f>
        <v>A0117</v>
      </c>
      <c r="C119" s="7">
        <f>IFERROR(__xludf.DUMMYFUNCTION("""COMPUTED_VALUE"""),24.0)</f>
        <v>24</v>
      </c>
    </row>
    <row r="120">
      <c r="A120" s="10" t="str">
        <f>IFERROR(__xludf.DUMMYFUNCTION("""COMPUTED_VALUE"""),"PILOX WARNA HITAM")</f>
        <v>PILOX WARNA HITAM</v>
      </c>
      <c r="B120" s="6" t="str">
        <f>IFERROR(__xludf.DUMMYFUNCTION("""COMPUTED_VALUE"""),"A0118")</f>
        <v>A0118</v>
      </c>
      <c r="C120" s="7">
        <f>IFERROR(__xludf.DUMMYFUNCTION("""COMPUTED_VALUE"""),24.0)</f>
        <v>24</v>
      </c>
    </row>
    <row r="121">
      <c r="A121" s="10" t="str">
        <f>IFERROR(__xludf.DUMMYFUNCTION("""COMPUTED_VALUE"""),"PILOX WARNA MERAH")</f>
        <v>PILOX WARNA MERAH</v>
      </c>
      <c r="B121" s="6" t="str">
        <f>IFERROR(__xludf.DUMMYFUNCTION("""COMPUTED_VALUE"""),"A0119")</f>
        <v>A0119</v>
      </c>
      <c r="C121" s="7">
        <f>IFERROR(__xludf.DUMMYFUNCTION("""COMPUTED_VALUE"""),9.0)</f>
        <v>9</v>
      </c>
    </row>
    <row r="122">
      <c r="A122" s="10" t="str">
        <f>IFERROR(__xludf.DUMMYFUNCTION("""COMPUTED_VALUE"""),"LAYAR PROJECTOR")</f>
        <v>LAYAR PROJECTOR</v>
      </c>
      <c r="B122" s="6" t="str">
        <f>IFERROR(__xludf.DUMMYFUNCTION("""COMPUTED_VALUE"""),"A0120")</f>
        <v>A0120</v>
      </c>
      <c r="C122" s="7">
        <f>IFERROR(__xludf.DUMMYFUNCTION("""COMPUTED_VALUE"""),0.0)</f>
        <v>0</v>
      </c>
    </row>
    <row r="123">
      <c r="A123" s="10" t="str">
        <f>IFERROR(__xludf.DUMMYFUNCTION("""COMPUTED_VALUE"""),"LAKBAN MERAH KAIN")</f>
        <v>LAKBAN MERAH KAIN</v>
      </c>
      <c r="B123" s="6" t="str">
        <f>IFERROR(__xludf.DUMMYFUNCTION("""COMPUTED_VALUE"""),"A0121")</f>
        <v>A0121</v>
      </c>
      <c r="C123" s="7">
        <f>IFERROR(__xludf.DUMMYFUNCTION("""COMPUTED_VALUE"""),4.0)</f>
        <v>4</v>
      </c>
    </row>
    <row r="124">
      <c r="A124" s="10" t="str">
        <f>IFERROR(__xludf.DUMMYFUNCTION("""COMPUTED_VALUE"""),"LAKBAN GYPSUM")</f>
        <v>LAKBAN GYPSUM</v>
      </c>
      <c r="B124" s="6" t="str">
        <f>IFERROR(__xludf.DUMMYFUNCTION("""COMPUTED_VALUE"""),"A0122")</f>
        <v>A0122</v>
      </c>
      <c r="C124" s="7">
        <f>IFERROR(__xludf.DUMMYFUNCTION("""COMPUTED_VALUE"""),5.0)</f>
        <v>5</v>
      </c>
    </row>
    <row r="125">
      <c r="A125" s="10" t="str">
        <f>IFERROR(__xludf.DUMMYFUNCTION("""COMPUTED_VALUE"""),"SERAGAM KERJA WARNA KUNING UK S")</f>
        <v>SERAGAM KERJA WARNA KUNING UK S</v>
      </c>
      <c r="B125" s="6" t="str">
        <f>IFERROR(__xludf.DUMMYFUNCTION("""COMPUTED_VALUE"""),"A0123")</f>
        <v>A0123</v>
      </c>
      <c r="C125" s="7">
        <f>IFERROR(__xludf.DUMMYFUNCTION("""COMPUTED_VALUE"""),0.0)</f>
        <v>0</v>
      </c>
    </row>
    <row r="126">
      <c r="A126" s="10" t="str">
        <f>IFERROR(__xludf.DUMMYFUNCTION("""COMPUTED_VALUE"""),"SERAGAM KERJA WARNA KUNING UK L")</f>
        <v>SERAGAM KERJA WARNA KUNING UK L</v>
      </c>
      <c r="B126" s="6" t="str">
        <f>IFERROR(__xludf.DUMMYFUNCTION("""COMPUTED_VALUE"""),"A0124")</f>
        <v>A0124</v>
      </c>
      <c r="C126" s="7">
        <f>IFERROR(__xludf.DUMMYFUNCTION("""COMPUTED_VALUE"""),0.0)</f>
        <v>0</v>
      </c>
    </row>
    <row r="127">
      <c r="A127" s="10" t="str">
        <f>IFERROR(__xludf.DUMMYFUNCTION("""COMPUTED_VALUE"""),"SERAGAM KERJA WARNA KUNING UK XXXL")</f>
        <v>SERAGAM KERJA WARNA KUNING UK XXXL</v>
      </c>
      <c r="B127" s="6" t="str">
        <f>IFERROR(__xludf.DUMMYFUNCTION("""COMPUTED_VALUE"""),"A0125")</f>
        <v>A0125</v>
      </c>
      <c r="C127" s="7">
        <f>IFERROR(__xludf.DUMMYFUNCTION("""COMPUTED_VALUE"""),5.0)</f>
        <v>5</v>
      </c>
    </row>
    <row r="128">
      <c r="A128" s="10" t="str">
        <f>IFERROR(__xludf.DUMMYFUNCTION("""COMPUTED_VALUE"""),"SERAGAM KERJA WARNA KUNING UK M")</f>
        <v>SERAGAM KERJA WARNA KUNING UK M</v>
      </c>
      <c r="B128" s="6" t="str">
        <f>IFERROR(__xludf.DUMMYFUNCTION("""COMPUTED_VALUE"""),"A0126")</f>
        <v>A0126</v>
      </c>
      <c r="C128" s="7">
        <f>IFERROR(__xludf.DUMMYFUNCTION("""COMPUTED_VALUE"""),0.0)</f>
        <v>0</v>
      </c>
    </row>
    <row r="129">
      <c r="A129" s="10" t="str">
        <f>IFERROR(__xludf.DUMMYFUNCTION("""COMPUTED_VALUE"""),"SERAGAM KERJA WARNA KUNING UK XL")</f>
        <v>SERAGAM KERJA WARNA KUNING UK XL</v>
      </c>
      <c r="B129" s="6" t="str">
        <f>IFERROR(__xludf.DUMMYFUNCTION("""COMPUTED_VALUE"""),"A0127")</f>
        <v>A0127</v>
      </c>
      <c r="C129" s="7">
        <f>IFERROR(__xludf.DUMMYFUNCTION("""COMPUTED_VALUE"""),6.0)</f>
        <v>6</v>
      </c>
    </row>
    <row r="130">
      <c r="A130" s="10" t="str">
        <f>IFERROR(__xludf.DUMMYFUNCTION("""COMPUTED_VALUE"""),"SERAGAM KERJA WARNA KUNING UK XXL")</f>
        <v>SERAGAM KERJA WARNA KUNING UK XXL</v>
      </c>
      <c r="B130" s="6" t="str">
        <f>IFERROR(__xludf.DUMMYFUNCTION("""COMPUTED_VALUE"""),"A0128")</f>
        <v>A0128</v>
      </c>
      <c r="C130" s="7">
        <f>IFERROR(__xludf.DUMMYFUNCTION("""COMPUTED_VALUE"""),1.0)</f>
        <v>1</v>
      </c>
    </row>
    <row r="131">
      <c r="A131" s="10" t="str">
        <f>IFERROR(__xludf.DUMMYFUNCTION("""COMPUTED_VALUE"""),"SERAGAM KERJA WARNA HITAM UK M")</f>
        <v>SERAGAM KERJA WARNA HITAM UK M</v>
      </c>
      <c r="B131" s="6" t="str">
        <f>IFERROR(__xludf.DUMMYFUNCTION("""COMPUTED_VALUE"""),"A0129")</f>
        <v>A0129</v>
      </c>
      <c r="C131" s="7">
        <f>IFERROR(__xludf.DUMMYFUNCTION("""COMPUTED_VALUE"""),0.0)</f>
        <v>0</v>
      </c>
    </row>
    <row r="132">
      <c r="A132" s="10" t="str">
        <f>IFERROR(__xludf.DUMMYFUNCTION("""COMPUTED_VALUE"""),"SERAGAM KERJA WARNA HITAM UK XL")</f>
        <v>SERAGAM KERJA WARNA HITAM UK XL</v>
      </c>
      <c r="B132" s="6" t="str">
        <f>IFERROR(__xludf.DUMMYFUNCTION("""COMPUTED_VALUE"""),"A0130")</f>
        <v>A0130</v>
      </c>
      <c r="C132" s="7">
        <f>IFERROR(__xludf.DUMMYFUNCTION("""COMPUTED_VALUE"""),0.0)</f>
        <v>0</v>
      </c>
    </row>
    <row r="133">
      <c r="A133" s="10" t="str">
        <f>IFERROR(__xludf.DUMMYFUNCTION("""COMPUTED_VALUE"""),"SERAGAM KERJA WARNA HITAM XXXL")</f>
        <v>SERAGAM KERJA WARNA HITAM XXXL</v>
      </c>
      <c r="B133" s="6" t="str">
        <f>IFERROR(__xludf.DUMMYFUNCTION("""COMPUTED_VALUE"""),"A0131")</f>
        <v>A0131</v>
      </c>
      <c r="C133" s="7">
        <f>IFERROR(__xludf.DUMMYFUNCTION("""COMPUTED_VALUE"""),3.0)</f>
        <v>3</v>
      </c>
    </row>
    <row r="134">
      <c r="A134" s="10" t="str">
        <f>IFERROR(__xludf.DUMMYFUNCTION("""COMPUTED_VALUE"""),"SERAGAM KERJA WARNA HITAM XXL")</f>
        <v>SERAGAM KERJA WARNA HITAM XXL</v>
      </c>
      <c r="B134" s="6" t="str">
        <f>IFERROR(__xludf.DUMMYFUNCTION("""COMPUTED_VALUE"""),"A0132")</f>
        <v>A0132</v>
      </c>
      <c r="C134" s="7">
        <f>IFERROR(__xludf.DUMMYFUNCTION("""COMPUTED_VALUE"""),19.0)</f>
        <v>19</v>
      </c>
    </row>
    <row r="135">
      <c r="A135" s="10" t="str">
        <f>IFERROR(__xludf.DUMMYFUNCTION("""COMPUTED_VALUE"""),"SERAGAM KERJA WARNA HIJAU XXL")</f>
        <v>SERAGAM KERJA WARNA HIJAU XXL</v>
      </c>
      <c r="B135" s="6" t="str">
        <f>IFERROR(__xludf.DUMMYFUNCTION("""COMPUTED_VALUE"""),"A0133")</f>
        <v>A0133</v>
      </c>
      <c r="C135" s="7">
        <f>IFERROR(__xludf.DUMMYFUNCTION("""COMPUTED_VALUE"""),12.0)</f>
        <v>12</v>
      </c>
    </row>
    <row r="136">
      <c r="A136" s="10" t="str">
        <f>IFERROR(__xludf.DUMMYFUNCTION("""COMPUTED_VALUE"""),"SERAGAM KERJA WARNA HIJAU XL")</f>
        <v>SERAGAM KERJA WARNA HIJAU XL</v>
      </c>
      <c r="B136" s="6" t="str">
        <f>IFERROR(__xludf.DUMMYFUNCTION("""COMPUTED_VALUE"""),"A0134")</f>
        <v>A0134</v>
      </c>
      <c r="C136" s="7">
        <f>IFERROR(__xludf.DUMMYFUNCTION("""COMPUTED_VALUE"""),0.0)</f>
        <v>0</v>
      </c>
    </row>
    <row r="137">
      <c r="A137" s="10" t="str">
        <f>IFERROR(__xludf.DUMMYFUNCTION("""COMPUTED_VALUE"""),"SERAGAM KERJA WARNA BIRU UK XL")</f>
        <v>SERAGAM KERJA WARNA BIRU UK XL</v>
      </c>
      <c r="B137" s="6" t="str">
        <f>IFERROR(__xludf.DUMMYFUNCTION("""COMPUTED_VALUE"""),"A0135")</f>
        <v>A0135</v>
      </c>
      <c r="C137" s="7">
        <f>IFERROR(__xludf.DUMMYFUNCTION("""COMPUTED_VALUE"""),13.0)</f>
        <v>13</v>
      </c>
    </row>
    <row r="138">
      <c r="A138" s="10" t="str">
        <f>IFERROR(__xludf.DUMMYFUNCTION("""COMPUTED_VALUE"""),"SERAGAM KERJA WARNA BIRU UK L ( SAMPLE )")</f>
        <v>SERAGAM KERJA WARNA BIRU UK L ( SAMPLE )</v>
      </c>
      <c r="B138" s="6" t="str">
        <f>IFERROR(__xludf.DUMMYFUNCTION("""COMPUTED_VALUE"""),"A0136")</f>
        <v>A0136</v>
      </c>
      <c r="C138" s="7">
        <f>IFERROR(__xludf.DUMMYFUNCTION("""COMPUTED_VALUE"""),0.0)</f>
        <v>0</v>
      </c>
    </row>
    <row r="139">
      <c r="A139" s="10" t="str">
        <f>IFERROR(__xludf.DUMMYFUNCTION("""COMPUTED_VALUE"""),"SERAGAM KERJA WARNA BIRU UK XXL")</f>
        <v>SERAGAM KERJA WARNA BIRU UK XXL</v>
      </c>
      <c r="B139" s="6" t="str">
        <f>IFERROR(__xludf.DUMMYFUNCTION("""COMPUTED_VALUE"""),"A0137")</f>
        <v>A0137</v>
      </c>
      <c r="C139" s="7">
        <f>IFERROR(__xludf.DUMMYFUNCTION("""COMPUTED_VALUE"""),12.0)</f>
        <v>12</v>
      </c>
    </row>
    <row r="140">
      <c r="A140" s="10" t="str">
        <f>IFERROR(__xludf.DUMMYFUNCTION("""COMPUTED_VALUE"""),"CELANA KERJA UKURAN 31")</f>
        <v>CELANA KERJA UKURAN 31</v>
      </c>
      <c r="B140" s="6" t="str">
        <f>IFERROR(__xludf.DUMMYFUNCTION("""COMPUTED_VALUE"""),"A0138")</f>
        <v>A0138</v>
      </c>
      <c r="C140" s="7">
        <f>IFERROR(__xludf.DUMMYFUNCTION("""COMPUTED_VALUE"""),3.0)</f>
        <v>3</v>
      </c>
    </row>
    <row r="141">
      <c r="A141" s="10" t="str">
        <f>IFERROR(__xludf.DUMMYFUNCTION("""COMPUTED_VALUE"""),"CELANA KERJA UKURAN 32")</f>
        <v>CELANA KERJA UKURAN 32</v>
      </c>
      <c r="B141" s="6" t="str">
        <f>IFERROR(__xludf.DUMMYFUNCTION("""COMPUTED_VALUE"""),"A0139")</f>
        <v>A0139</v>
      </c>
      <c r="C141" s="7">
        <f>IFERROR(__xludf.DUMMYFUNCTION("""COMPUTED_VALUE"""),0.0)</f>
        <v>0</v>
      </c>
    </row>
    <row r="142">
      <c r="A142" s="10" t="str">
        <f>IFERROR(__xludf.DUMMYFUNCTION("""COMPUTED_VALUE"""),"CELANA KERJA UKURAN 33")</f>
        <v>CELANA KERJA UKURAN 33</v>
      </c>
      <c r="B142" s="6" t="str">
        <f>IFERROR(__xludf.DUMMYFUNCTION("""COMPUTED_VALUE"""),"A0140")</f>
        <v>A0140</v>
      </c>
      <c r="C142" s="7">
        <f>IFERROR(__xludf.DUMMYFUNCTION("""COMPUTED_VALUE"""),6.0)</f>
        <v>6</v>
      </c>
    </row>
    <row r="143">
      <c r="A143" s="10" t="str">
        <f>IFERROR(__xludf.DUMMYFUNCTION("""COMPUTED_VALUE"""),"CELANA KERJA UKURAN 34")</f>
        <v>CELANA KERJA UKURAN 34</v>
      </c>
      <c r="B143" s="6" t="str">
        <f>IFERROR(__xludf.DUMMYFUNCTION("""COMPUTED_VALUE"""),"A0141")</f>
        <v>A0141</v>
      </c>
      <c r="C143" s="7">
        <f>IFERROR(__xludf.DUMMYFUNCTION("""COMPUTED_VALUE"""),20.0)</f>
        <v>20</v>
      </c>
    </row>
    <row r="144">
      <c r="A144" s="10" t="str">
        <f>IFERROR(__xludf.DUMMYFUNCTION("""COMPUTED_VALUE"""),"CELANA KERJA UKURAN 35")</f>
        <v>CELANA KERJA UKURAN 35</v>
      </c>
      <c r="B144" s="6" t="str">
        <f>IFERROR(__xludf.DUMMYFUNCTION("""COMPUTED_VALUE"""),"A0142")</f>
        <v>A0142</v>
      </c>
      <c r="C144" s="7">
        <f>IFERROR(__xludf.DUMMYFUNCTION("""COMPUTED_VALUE"""),0.0)</f>
        <v>0</v>
      </c>
    </row>
    <row r="145">
      <c r="A145" s="10" t="str">
        <f>IFERROR(__xludf.DUMMYFUNCTION("""COMPUTED_VALUE"""),"CELANA KERJA UKURAN 36")</f>
        <v>CELANA KERJA UKURAN 36</v>
      </c>
      <c r="B145" s="6" t="str">
        <f>IFERROR(__xludf.DUMMYFUNCTION("""COMPUTED_VALUE"""),"A0143")</f>
        <v>A0143</v>
      </c>
      <c r="C145" s="7">
        <f>IFERROR(__xludf.DUMMYFUNCTION("""COMPUTED_VALUE"""),0.0)</f>
        <v>0</v>
      </c>
    </row>
    <row r="146">
      <c r="A146" s="10" t="str">
        <f>IFERROR(__xludf.DUMMYFUNCTION("""COMPUTED_VALUE"""),"CELANA KERJA UKURAN 38")</f>
        <v>CELANA KERJA UKURAN 38</v>
      </c>
      <c r="B146" s="6"/>
      <c r="C146" s="7"/>
    </row>
    <row r="147">
      <c r="A147" s="10" t="str">
        <f>IFERROR(__xludf.DUMMYFUNCTION("""COMPUTED_VALUE"""),"CELANA KERJA UKURAN 37")</f>
        <v>CELANA KERJA UKURAN 37</v>
      </c>
      <c r="B147" s="6" t="str">
        <f>IFERROR(__xludf.DUMMYFUNCTION("""COMPUTED_VALUE"""),"A0144")</f>
        <v>A0144</v>
      </c>
      <c r="C147" s="7">
        <f>IFERROR(__xludf.DUMMYFUNCTION("""COMPUTED_VALUE"""),0.0)</f>
        <v>0</v>
      </c>
    </row>
    <row r="148">
      <c r="A148" s="10" t="str">
        <f>IFERROR(__xludf.DUMMYFUNCTION("""COMPUTED_VALUE"""),"CELANA KERJA UKURAN 41")</f>
        <v>CELANA KERJA UKURAN 41</v>
      </c>
      <c r="B148" s="6" t="str">
        <f>IFERROR(__xludf.DUMMYFUNCTION("""COMPUTED_VALUE"""),"A0145")</f>
        <v>A0145</v>
      </c>
      <c r="C148" s="7">
        <f>IFERROR(__xludf.DUMMYFUNCTION("""COMPUTED_VALUE"""),0.0)</f>
        <v>0</v>
      </c>
    </row>
    <row r="149">
      <c r="A149" s="10" t="str">
        <f>IFERROR(__xludf.DUMMYFUNCTION("""COMPUTED_VALUE"""),"CELANA KERJA UKURAN 42")</f>
        <v>CELANA KERJA UKURAN 42</v>
      </c>
      <c r="B149" s="6" t="str">
        <f>IFERROR(__xludf.DUMMYFUNCTION("""COMPUTED_VALUE"""),"A0146")</f>
        <v>A0146</v>
      </c>
      <c r="C149" s="7">
        <f>IFERROR(__xludf.DUMMYFUNCTION("""COMPUTED_VALUE"""),22.0)</f>
        <v>22</v>
      </c>
    </row>
    <row r="150">
      <c r="A150" s="10" t="str">
        <f>IFERROR(__xludf.DUMMYFUNCTION("""COMPUTED_VALUE"""),"CELANA KERJA UKURAN 43")</f>
        <v>CELANA KERJA UKURAN 43</v>
      </c>
      <c r="B150" s="6" t="str">
        <f>IFERROR(__xludf.DUMMYFUNCTION("""COMPUTED_VALUE"""),"A0147")</f>
        <v>A0147</v>
      </c>
      <c r="C150" s="7">
        <f>IFERROR(__xludf.DUMMYFUNCTION("""COMPUTED_VALUE"""),0.0)</f>
        <v>0</v>
      </c>
    </row>
    <row r="151">
      <c r="A151" s="10" t="str">
        <f>IFERROR(__xludf.DUMMYFUNCTION("""COMPUTED_VALUE"""),"JAS DISPOSABLE")</f>
        <v>JAS DISPOSABLE</v>
      </c>
      <c r="B151" s="6" t="str">
        <f>IFERROR(__xludf.DUMMYFUNCTION("""COMPUTED_VALUE"""),"A0148")</f>
        <v>A0148</v>
      </c>
      <c r="C151" s="7">
        <f>IFERROR(__xludf.DUMMYFUNCTION("""COMPUTED_VALUE"""),7.0)</f>
        <v>7</v>
      </c>
    </row>
    <row r="152">
      <c r="A152" s="10" t="str">
        <f>IFERROR(__xludf.DUMMYFUNCTION("""COMPUTED_VALUE"""),"APD HIJAU XL")</f>
        <v>APD HIJAU XL</v>
      </c>
      <c r="B152" s="6" t="str">
        <f>IFERROR(__xludf.DUMMYFUNCTION("""COMPUTED_VALUE"""),"A0149")</f>
        <v>A0149</v>
      </c>
      <c r="C152" s="7">
        <f>IFERROR(__xludf.DUMMYFUNCTION("""COMPUTED_VALUE"""),3.0)</f>
        <v>3</v>
      </c>
    </row>
    <row r="153">
      <c r="A153" s="10" t="str">
        <f>IFERROR(__xludf.DUMMYFUNCTION("""COMPUTED_VALUE"""),"APD HIJAU L")</f>
        <v>APD HIJAU L</v>
      </c>
      <c r="B153" s="6" t="str">
        <f>IFERROR(__xludf.DUMMYFUNCTION("""COMPUTED_VALUE"""),"A0150")</f>
        <v>A0150</v>
      </c>
      <c r="C153" s="7">
        <f>IFERROR(__xludf.DUMMYFUNCTION("""COMPUTED_VALUE"""),2.0)</f>
        <v>2</v>
      </c>
    </row>
    <row r="154">
      <c r="A154" s="10" t="str">
        <f>IFERROR(__xludf.DUMMYFUNCTION("""COMPUTED_VALUE"""),"APD HIJAU M")</f>
        <v>APD HIJAU M</v>
      </c>
      <c r="B154" s="6" t="str">
        <f>IFERROR(__xludf.DUMMYFUNCTION("""COMPUTED_VALUE"""),"A0151")</f>
        <v>A0151</v>
      </c>
      <c r="C154" s="7">
        <f>IFERROR(__xludf.DUMMYFUNCTION("""COMPUTED_VALUE"""),9.0)</f>
        <v>9</v>
      </c>
    </row>
    <row r="155">
      <c r="A155" s="10" t="str">
        <f>IFERROR(__xludf.DUMMYFUNCTION("""COMPUTED_VALUE"""),"APD BIRU 2XL")</f>
        <v>APD BIRU 2XL</v>
      </c>
      <c r="B155" s="6" t="str">
        <f>IFERROR(__xludf.DUMMYFUNCTION("""COMPUTED_VALUE"""),"A0152")</f>
        <v>A0152</v>
      </c>
      <c r="C155" s="7">
        <f>IFERROR(__xludf.DUMMYFUNCTION("""COMPUTED_VALUE"""),0.0)</f>
        <v>0</v>
      </c>
    </row>
    <row r="156">
      <c r="A156" s="10" t="str">
        <f>IFERROR(__xludf.DUMMYFUNCTION("""COMPUTED_VALUE"""),"APD BIRU 3XL")</f>
        <v>APD BIRU 3XL</v>
      </c>
      <c r="B156" s="6" t="str">
        <f>IFERROR(__xludf.DUMMYFUNCTION("""COMPUTED_VALUE"""),"A0153")</f>
        <v>A0153</v>
      </c>
      <c r="C156" s="7">
        <f>IFERROR(__xludf.DUMMYFUNCTION("""COMPUTED_VALUE"""),0.0)</f>
        <v>0</v>
      </c>
    </row>
    <row r="157">
      <c r="A157" s="10" t="str">
        <f>IFERROR(__xludf.DUMMYFUNCTION("""COMPUTED_VALUE"""),"APD BIRU 4XL")</f>
        <v>APD BIRU 4XL</v>
      </c>
      <c r="B157" s="6" t="str">
        <f>IFERROR(__xludf.DUMMYFUNCTION("""COMPUTED_VALUE"""),"A0154")</f>
        <v>A0154</v>
      </c>
      <c r="C157" s="7">
        <f>IFERROR(__xludf.DUMMYFUNCTION("""COMPUTED_VALUE"""),0.0)</f>
        <v>0</v>
      </c>
    </row>
    <row r="158">
      <c r="A158" s="10" t="str">
        <f>IFERROR(__xludf.DUMMYFUNCTION("""COMPUTED_VALUE"""),"LAMPU HANNOCHS 50W")</f>
        <v>LAMPU HANNOCHS 50W</v>
      </c>
      <c r="B158" s="6" t="str">
        <f>IFERROR(__xludf.DUMMYFUNCTION("""COMPUTED_VALUE"""),"A0155")</f>
        <v>A0155</v>
      </c>
      <c r="C158" s="7">
        <f>IFERROR(__xludf.DUMMYFUNCTION("""COMPUTED_VALUE"""),79.0)</f>
        <v>79</v>
      </c>
    </row>
    <row r="159">
      <c r="A159" s="10" t="str">
        <f>IFERROR(__xludf.DUMMYFUNCTION("""COMPUTED_VALUE"""),"LAMPU HANNOCHS 13W")</f>
        <v>LAMPU HANNOCHS 13W</v>
      </c>
      <c r="B159" s="6" t="str">
        <f>IFERROR(__xludf.DUMMYFUNCTION("""COMPUTED_VALUE"""),"A0156")</f>
        <v>A0156</v>
      </c>
      <c r="C159" s="7">
        <f>IFERROR(__xludf.DUMMYFUNCTION("""COMPUTED_VALUE"""),28.0)</f>
        <v>28</v>
      </c>
    </row>
    <row r="160">
      <c r="A160" s="10" t="str">
        <f>IFERROR(__xludf.DUMMYFUNCTION("""COMPUTED_VALUE"""),"LAMPU HANNOCHS 32W")</f>
        <v>LAMPU HANNOCHS 32W</v>
      </c>
      <c r="B160" s="6" t="str">
        <f>IFERROR(__xludf.DUMMYFUNCTION("""COMPUTED_VALUE"""),"A0157")</f>
        <v>A0157</v>
      </c>
      <c r="C160" s="7">
        <f>IFERROR(__xludf.DUMMYFUNCTION("""COMPUTED_VALUE"""),19.0)</f>
        <v>19</v>
      </c>
    </row>
    <row r="161">
      <c r="A161" s="10" t="str">
        <f>IFERROR(__xludf.DUMMYFUNCTION("""COMPUTED_VALUE"""),"LAMPU SHIMATA PLUS S20")</f>
        <v>LAMPU SHIMATA PLUS S20</v>
      </c>
      <c r="B161" s="6" t="str">
        <f>IFERROR(__xludf.DUMMYFUNCTION("""COMPUTED_VALUE"""),"A0158")</f>
        <v>A0158</v>
      </c>
      <c r="C161" s="7">
        <f>IFERROR(__xludf.DUMMYFUNCTION("""COMPUTED_VALUE"""),53.0)</f>
        <v>53</v>
      </c>
    </row>
    <row r="162">
      <c r="A162" s="10" t="str">
        <f>IFERROR(__xludf.DUMMYFUNCTION("""COMPUTED_VALUE"""),"LAMPU EMERGENCY ")</f>
        <v>LAMPU EMERGENCY </v>
      </c>
      <c r="B162" s="6" t="str">
        <f>IFERROR(__xludf.DUMMYFUNCTION("""COMPUTED_VALUE"""),"A0159")</f>
        <v>A0159</v>
      </c>
      <c r="C162" s="7">
        <f>IFERROR(__xludf.DUMMYFUNCTION("""COMPUTED_VALUE"""),2.0)</f>
        <v>2</v>
      </c>
    </row>
    <row r="163">
      <c r="A163" s="10" t="str">
        <f>IFERROR(__xludf.DUMMYFUNCTION("""COMPUTED_VALUE"""),"LAMPU EXIT KANAN")</f>
        <v>LAMPU EXIT KANAN</v>
      </c>
      <c r="B163" s="6" t="str">
        <f>IFERROR(__xludf.DUMMYFUNCTION("""COMPUTED_VALUE"""),"A0160")</f>
        <v>A0160</v>
      </c>
      <c r="C163" s="7">
        <f>IFERROR(__xludf.DUMMYFUNCTION("""COMPUTED_VALUE"""),2.0)</f>
        <v>2</v>
      </c>
    </row>
    <row r="164">
      <c r="A164" s="10" t="str">
        <f>IFERROR(__xludf.DUMMYFUNCTION("""COMPUTED_VALUE"""),"CAT EPODUR BRIGHT BLUE")</f>
        <v>CAT EPODUR BRIGHT BLUE</v>
      </c>
      <c r="B164" s="6" t="str">
        <f>IFERROR(__xludf.DUMMYFUNCTION("""COMPUTED_VALUE"""),"A0161")</f>
        <v>A0161</v>
      </c>
      <c r="C164" s="7">
        <f>IFERROR(__xludf.DUMMYFUNCTION("""COMPUTED_VALUE"""),18.0)</f>
        <v>18</v>
      </c>
    </row>
    <row r="165">
      <c r="A165" s="10" t="str">
        <f>IFERROR(__xludf.DUMMYFUNCTION("""COMPUTED_VALUE"""),"CAT EPODUR GREEN")</f>
        <v>CAT EPODUR GREEN</v>
      </c>
      <c r="B165" s="6" t="str">
        <f>IFERROR(__xludf.DUMMYFUNCTION("""COMPUTED_VALUE"""),"A0162")</f>
        <v>A0162</v>
      </c>
      <c r="C165" s="7">
        <f>IFERROR(__xludf.DUMMYFUNCTION("""COMPUTED_VALUE"""),0.0)</f>
        <v>0</v>
      </c>
    </row>
    <row r="166">
      <c r="A166" s="10" t="str">
        <f>IFERROR(__xludf.DUMMYFUNCTION("""COMPUTED_VALUE"""),"CAT EPODUR BLACK")</f>
        <v>CAT EPODUR BLACK</v>
      </c>
      <c r="B166" s="6" t="str">
        <f>IFERROR(__xludf.DUMMYFUNCTION("""COMPUTED_VALUE"""),"A0163")</f>
        <v>A0163</v>
      </c>
      <c r="C166" s="7">
        <f>IFERROR(__xludf.DUMMYFUNCTION("""COMPUTED_VALUE"""),13.0)</f>
        <v>13</v>
      </c>
    </row>
    <row r="167">
      <c r="A167" s="10" t="str">
        <f>IFERROR(__xludf.DUMMYFUNCTION("""COMPUTED_VALUE"""),"KEMOCENG")</f>
        <v>KEMOCENG</v>
      </c>
      <c r="B167" s="6" t="str">
        <f>IFERROR(__xludf.DUMMYFUNCTION("""COMPUTED_VALUE"""),"A0164")</f>
        <v>A0164</v>
      </c>
      <c r="C167" s="7">
        <f>IFERROR(__xludf.DUMMYFUNCTION("""COMPUTED_VALUE"""),0.0)</f>
        <v>0</v>
      </c>
    </row>
    <row r="168">
      <c r="A168" s="10" t="str">
        <f>IFERROR(__xludf.DUMMYFUNCTION("""COMPUTED_VALUE"""),"SALONPAS")</f>
        <v>SALONPAS</v>
      </c>
      <c r="B168" s="6" t="str">
        <f>IFERROR(__xludf.DUMMYFUNCTION("""COMPUTED_VALUE"""),"A0165")</f>
        <v>A0165</v>
      </c>
      <c r="C168" s="7">
        <f>IFERROR(__xludf.DUMMYFUNCTION("""COMPUTED_VALUE"""),37.0)</f>
        <v>37</v>
      </c>
    </row>
    <row r="169">
      <c r="A169" s="10" t="str">
        <f>IFERROR(__xludf.DUMMYFUNCTION("""COMPUTED_VALUE"""),"ISI CUTTER")</f>
        <v>ISI CUTTER</v>
      </c>
      <c r="B169" s="6" t="str">
        <f>IFERROR(__xludf.DUMMYFUNCTION("""COMPUTED_VALUE"""),"A0166")</f>
        <v>A0166</v>
      </c>
      <c r="C169" s="7">
        <f>IFERROR(__xludf.DUMMYFUNCTION("""COMPUTED_VALUE"""),13.0)</f>
        <v>13</v>
      </c>
    </row>
    <row r="170">
      <c r="A170" s="10" t="str">
        <f>IFERROR(__xludf.DUMMYFUNCTION("""COMPUTED_VALUE"""),"KOTAK SAMPAH KECIL")</f>
        <v>KOTAK SAMPAH KECIL</v>
      </c>
      <c r="B170" s="6" t="str">
        <f>IFERROR(__xludf.DUMMYFUNCTION("""COMPUTED_VALUE"""),"A0167")</f>
        <v>A0167</v>
      </c>
      <c r="C170" s="7">
        <f>IFERROR(__xludf.DUMMYFUNCTION("""COMPUTED_VALUE"""),6.0)</f>
        <v>6</v>
      </c>
    </row>
    <row r="171">
      <c r="A171" s="10" t="str">
        <f>IFERROR(__xludf.DUMMYFUNCTION("""COMPUTED_VALUE"""),"PEMBERSIH KACA")</f>
        <v>PEMBERSIH KACA</v>
      </c>
      <c r="B171" s="6" t="str">
        <f>IFERROR(__xludf.DUMMYFUNCTION("""COMPUTED_VALUE"""),"A0168")</f>
        <v>A0168</v>
      </c>
      <c r="C171" s="7">
        <f>IFERROR(__xludf.DUMMYFUNCTION("""COMPUTED_VALUE"""),1.0)</f>
        <v>1</v>
      </c>
    </row>
    <row r="172">
      <c r="A172" s="10" t="str">
        <f>IFERROR(__xludf.DUMMYFUNCTION("""COMPUTED_VALUE"""),"SIKAT CLOSET")</f>
        <v>SIKAT CLOSET</v>
      </c>
      <c r="B172" s="6" t="str">
        <f>IFERROR(__xludf.DUMMYFUNCTION("""COMPUTED_VALUE"""),"A0169")</f>
        <v>A0169</v>
      </c>
      <c r="C172" s="7">
        <f>IFERROR(__xludf.DUMMYFUNCTION("""COMPUTED_VALUE"""),14.0)</f>
        <v>14</v>
      </c>
    </row>
    <row r="173">
      <c r="A173" s="10" t="str">
        <f>IFERROR(__xludf.DUMMYFUNCTION("""COMPUTED_VALUE"""),"KANEBO")</f>
        <v>KANEBO</v>
      </c>
      <c r="B173" s="6" t="str">
        <f>IFERROR(__xludf.DUMMYFUNCTION("""COMPUTED_VALUE"""),"A0170")</f>
        <v>A0170</v>
      </c>
      <c r="C173" s="7">
        <f>IFERROR(__xludf.DUMMYFUNCTION("""COMPUTED_VALUE"""),0.0)</f>
        <v>0</v>
      </c>
    </row>
    <row r="174">
      <c r="A174" s="10" t="str">
        <f>IFERROR(__xludf.DUMMYFUNCTION("""COMPUTED_VALUE"""),"SHAMPO MOBIL")</f>
        <v>SHAMPO MOBIL</v>
      </c>
      <c r="B174" s="6" t="str">
        <f>IFERROR(__xludf.DUMMYFUNCTION("""COMPUTED_VALUE"""),"A0171")</f>
        <v>A0171</v>
      </c>
      <c r="C174" s="7">
        <f>IFERROR(__xludf.DUMMYFUNCTION("""COMPUTED_VALUE"""),0.0)</f>
        <v>0</v>
      </c>
    </row>
    <row r="175">
      <c r="A175" s="10" t="str">
        <f>IFERROR(__xludf.DUMMYFUNCTION("""COMPUTED_VALUE"""),"PEMBOLONG KERTAS")</f>
        <v>PEMBOLONG KERTAS</v>
      </c>
      <c r="B175" s="6" t="str">
        <f>IFERROR(__xludf.DUMMYFUNCTION("""COMPUTED_VALUE"""),"A0172")</f>
        <v>A0172</v>
      </c>
      <c r="C175" s="7">
        <f>IFERROR(__xludf.DUMMYFUNCTION("""COMPUTED_VALUE"""),7.0)</f>
        <v>7</v>
      </c>
    </row>
    <row r="176">
      <c r="A176" s="10" t="str">
        <f>IFERROR(__xludf.DUMMYFUNCTION("""COMPUTED_VALUE"""),"COMPOUND")</f>
        <v>COMPOUND</v>
      </c>
      <c r="B176" s="6" t="str">
        <f>IFERROR(__xludf.DUMMYFUNCTION("""COMPUTED_VALUE"""),"A0173")</f>
        <v>A0173</v>
      </c>
      <c r="C176" s="7">
        <f>IFERROR(__xludf.DUMMYFUNCTION("""COMPUTED_VALUE"""),0.0)</f>
        <v>0</v>
      </c>
    </row>
    <row r="177">
      <c r="A177" s="10" t="str">
        <f>IFERROR(__xludf.DUMMYFUNCTION("""COMPUTED_VALUE"""),"INSTO")</f>
        <v>INSTO</v>
      </c>
      <c r="B177" s="6" t="str">
        <f>IFERROR(__xludf.DUMMYFUNCTION("""COMPUTED_VALUE"""),"A0174")</f>
        <v>A0174</v>
      </c>
      <c r="C177" s="7">
        <f>IFERROR(__xludf.DUMMYFUNCTION("""COMPUTED_VALUE"""),4.0)</f>
        <v>4</v>
      </c>
    </row>
    <row r="178">
      <c r="A178" s="10" t="str">
        <f>IFERROR(__xludf.DUMMYFUNCTION("""COMPUTED_VALUE"""),"GLADE ")</f>
        <v>GLADE </v>
      </c>
      <c r="B178" s="6" t="str">
        <f>IFERROR(__xludf.DUMMYFUNCTION("""COMPUTED_VALUE"""),"A0175")</f>
        <v>A0175</v>
      </c>
      <c r="C178" s="7">
        <f>IFERROR(__xludf.DUMMYFUNCTION("""COMPUTED_VALUE"""),9.0)</f>
        <v>9</v>
      </c>
    </row>
    <row r="179">
      <c r="A179" s="10" t="str">
        <f>IFERROR(__xludf.DUMMYFUNCTION("""COMPUTED_VALUE"""),"KUNCI SLOT KAMAR MANDI")</f>
        <v>KUNCI SLOT KAMAR MANDI</v>
      </c>
      <c r="B179" s="6" t="str">
        <f>IFERROR(__xludf.DUMMYFUNCTION("""COMPUTED_VALUE"""),"A0176")</f>
        <v>A0176</v>
      </c>
      <c r="C179" s="7">
        <f>IFERROR(__xludf.DUMMYFUNCTION("""COMPUTED_VALUE"""),23.0)</f>
        <v>23</v>
      </c>
    </row>
    <row r="180">
      <c r="A180" s="5" t="str">
        <f>IFERROR(__xludf.DUMMYFUNCTION("""COMPUTED_VALUE"""),"PIRING MAKAN")</f>
        <v>PIRING MAKAN</v>
      </c>
      <c r="B180" s="6" t="str">
        <f>IFERROR(__xludf.DUMMYFUNCTION("""COMPUTED_VALUE"""),"A0177")</f>
        <v>A0177</v>
      </c>
      <c r="C180" s="7">
        <f>IFERROR(__xludf.DUMMYFUNCTION("""COMPUTED_VALUE"""),100.0)</f>
        <v>100</v>
      </c>
    </row>
    <row r="181">
      <c r="A181" s="10" t="str">
        <f>IFERROR(__xludf.DUMMYFUNCTION("""COMPUTED_VALUE"""),"SENDOK MAKAN")</f>
        <v>SENDOK MAKAN</v>
      </c>
      <c r="B181" s="6" t="str">
        <f>IFERROR(__xludf.DUMMYFUNCTION("""COMPUTED_VALUE"""),"A0178")</f>
        <v>A0178</v>
      </c>
      <c r="C181" s="7">
        <f>IFERROR(__xludf.DUMMYFUNCTION("""COMPUTED_VALUE"""),85.0)</f>
        <v>85</v>
      </c>
    </row>
    <row r="182">
      <c r="A182" s="5" t="str">
        <f>IFERROR(__xludf.DUMMYFUNCTION("""COMPUTED_VALUE"""),"GARPU")</f>
        <v>GARPU</v>
      </c>
      <c r="B182" s="6" t="str">
        <f>IFERROR(__xludf.DUMMYFUNCTION("""COMPUTED_VALUE"""),"A0179")</f>
        <v>A0179</v>
      </c>
      <c r="C182" s="7">
        <f>IFERROR(__xludf.DUMMYFUNCTION("""COMPUTED_VALUE"""),14.0)</f>
        <v>14</v>
      </c>
    </row>
    <row r="183">
      <c r="A183" s="5" t="str">
        <f>IFERROR(__xludf.DUMMYFUNCTION("""COMPUTED_VALUE"""),"GELAS STAINLES")</f>
        <v>GELAS STAINLES</v>
      </c>
      <c r="B183" s="6" t="str">
        <f>IFERROR(__xludf.DUMMYFUNCTION("""COMPUTED_VALUE"""),"A0180")</f>
        <v>A0180</v>
      </c>
      <c r="C183" s="7">
        <f>IFERROR(__xludf.DUMMYFUNCTION("""COMPUTED_VALUE"""),65.0)</f>
        <v>65</v>
      </c>
    </row>
    <row r="184">
      <c r="A184" s="5" t="str">
        <f>IFERROR(__xludf.DUMMYFUNCTION("""COMPUTED_VALUE"""),"STIKER FOOM")</f>
        <v>STIKER FOOM</v>
      </c>
      <c r="B184" s="6" t="str">
        <f>IFERROR(__xludf.DUMMYFUNCTION("""COMPUTED_VALUE"""),"A0181")</f>
        <v>A0181</v>
      </c>
      <c r="C184" s="7">
        <f>IFERROR(__xludf.DUMMYFUNCTION("""COMPUTED_VALUE"""),188.0)</f>
        <v>188</v>
      </c>
    </row>
    <row r="185">
      <c r="A185" s="5" t="str">
        <f>IFERROR(__xludf.DUMMYFUNCTION("""COMPUTED_VALUE"""),"HELM PROYEK PUTIH")</f>
        <v>HELM PROYEK PUTIH</v>
      </c>
      <c r="B185" s="6" t="str">
        <f>IFERROR(__xludf.DUMMYFUNCTION("""COMPUTED_VALUE"""),"A0182")</f>
        <v>A0182</v>
      </c>
      <c r="C185" s="7">
        <f>IFERROR(__xludf.DUMMYFUNCTION("""COMPUTED_VALUE"""),4.0)</f>
        <v>4</v>
      </c>
    </row>
    <row r="186">
      <c r="A186" s="5" t="str">
        <f>IFERROR(__xludf.DUMMYFUNCTION("""COMPUTED_VALUE"""),"WASTAFEL LEHER ANGSA")</f>
        <v>WASTAFEL LEHER ANGSA</v>
      </c>
      <c r="B186" s="6" t="str">
        <f>IFERROR(__xludf.DUMMYFUNCTION("""COMPUTED_VALUE"""),"A0183")</f>
        <v>A0183</v>
      </c>
      <c r="C186" s="7">
        <f>IFERROR(__xludf.DUMMYFUNCTION("""COMPUTED_VALUE"""),2.0)</f>
        <v>2</v>
      </c>
    </row>
    <row r="187">
      <c r="A187" s="5" t="str">
        <f>IFERROR(__xludf.DUMMYFUNCTION("""COMPUTED_VALUE"""),"METERAN")</f>
        <v>METERAN</v>
      </c>
      <c r="B187" s="4" t="str">
        <f>IFERROR(__xludf.DUMMYFUNCTION("""COMPUTED_VALUE"""),"A0184")</f>
        <v>A0184</v>
      </c>
      <c r="C187" s="14">
        <f>IFERROR(__xludf.DUMMYFUNCTION("""COMPUTED_VALUE"""),1.0)</f>
        <v>1</v>
      </c>
    </row>
    <row r="188">
      <c r="A188" s="5" t="str">
        <f>IFERROR(__xludf.DUMMYFUNCTION("""COMPUTED_VALUE"""),"SENDOK SEMEN")</f>
        <v>SENDOK SEMEN</v>
      </c>
      <c r="B188" s="4" t="str">
        <f>IFERROR(__xludf.DUMMYFUNCTION("""COMPUTED_VALUE"""),"A0185")</f>
        <v>A0185</v>
      </c>
      <c r="C188" s="14">
        <f>IFERROR(__xludf.DUMMYFUNCTION("""COMPUTED_VALUE"""),1.0)</f>
        <v>1</v>
      </c>
    </row>
    <row r="189">
      <c r="A189" s="5" t="str">
        <f>IFERROR(__xludf.DUMMYFUNCTION("""COMPUTED_VALUE"""),"FLOOR DRAIN")</f>
        <v>FLOOR DRAIN</v>
      </c>
      <c r="B189" s="4" t="str">
        <f>IFERROR(__xludf.DUMMYFUNCTION("""COMPUTED_VALUE"""),"A0186")</f>
        <v>A0186</v>
      </c>
      <c r="C189" s="14">
        <f>IFERROR(__xludf.DUMMYFUNCTION("""COMPUTED_VALUE"""),14.0)</f>
        <v>14</v>
      </c>
    </row>
    <row r="190">
      <c r="A190" s="5" t="str">
        <f>IFERROR(__xludf.DUMMYFUNCTION("""COMPUTED_VALUE"""),"LASERJET BLACK")</f>
        <v>LASERJET BLACK</v>
      </c>
      <c r="B190" s="4" t="str">
        <f>IFERROR(__xludf.DUMMYFUNCTION("""COMPUTED_VALUE"""),"A0187")</f>
        <v>A0187</v>
      </c>
      <c r="C190" s="14">
        <f>IFERROR(__xludf.DUMMYFUNCTION("""COMPUTED_VALUE"""),9.0)</f>
        <v>9</v>
      </c>
    </row>
    <row r="191">
      <c r="A191" s="5" t="str">
        <f>IFERROR(__xludf.DUMMYFUNCTION("""COMPUTED_VALUE"""),"KONTAINER FOOD")</f>
        <v>KONTAINER FOOD</v>
      </c>
      <c r="B191" s="4" t="str">
        <f>IFERROR(__xludf.DUMMYFUNCTION("""COMPUTED_VALUE"""),"A0188")</f>
        <v>A0188</v>
      </c>
      <c r="C191" s="14">
        <f>IFERROR(__xludf.DUMMYFUNCTION("""COMPUTED_VALUE"""),15.0)</f>
        <v>15</v>
      </c>
    </row>
    <row r="192">
      <c r="A192" s="5" t="str">
        <f>IFERROR(__xludf.DUMMYFUNCTION("""COMPUTED_VALUE"""),"TEMPAT RAK PAYUNG")</f>
        <v>TEMPAT RAK PAYUNG</v>
      </c>
      <c r="B192" s="4" t="str">
        <f>IFERROR(__xludf.DUMMYFUNCTION("""COMPUTED_VALUE"""),"A0189")</f>
        <v>A0189</v>
      </c>
      <c r="C192" s="14">
        <f>IFERROR(__xludf.DUMMYFUNCTION("""COMPUTED_VALUE"""),8.0)</f>
        <v>8</v>
      </c>
    </row>
    <row r="193">
      <c r="A193" s="5" t="str">
        <f>IFERROR(__xludf.DUMMYFUNCTION("""COMPUTED_VALUE"""),"KESET")</f>
        <v>KESET</v>
      </c>
      <c r="B193" s="4" t="str">
        <f>IFERROR(__xludf.DUMMYFUNCTION("""COMPUTED_VALUE"""),"A0190")</f>
        <v>A0190</v>
      </c>
      <c r="C193" s="14">
        <f>IFERROR(__xludf.DUMMYFUNCTION("""COMPUTED_VALUE"""),5.0)</f>
        <v>5</v>
      </c>
    </row>
    <row r="194">
      <c r="A194" s="5" t="str">
        <f>IFERROR(__xludf.DUMMYFUNCTION("""COMPUTED_VALUE"""),"SANDAL")</f>
        <v>SANDAL</v>
      </c>
      <c r="B194" s="4" t="str">
        <f>IFERROR(__xludf.DUMMYFUNCTION("""COMPUTED_VALUE"""),"A0191")</f>
        <v>A0191</v>
      </c>
      <c r="C194" s="14">
        <f>IFERROR(__xludf.DUMMYFUNCTION("""COMPUTED_VALUE"""),3.0)</f>
        <v>3</v>
      </c>
    </row>
    <row r="195">
      <c r="A195" s="5" t="str">
        <f>IFERROR(__xludf.DUMMYFUNCTION("""COMPUTED_VALUE"""),"SANDAL LAB")</f>
        <v>SANDAL LAB</v>
      </c>
      <c r="B195" s="4" t="str">
        <f>IFERROR(__xludf.DUMMYFUNCTION("""COMPUTED_VALUE"""),"A0192")</f>
        <v>A0192</v>
      </c>
      <c r="C195" s="14">
        <f>IFERROR(__xludf.DUMMYFUNCTION("""COMPUTED_VALUE"""),-5.0)</f>
        <v>-5</v>
      </c>
    </row>
    <row r="196">
      <c r="A196" s="5"/>
      <c r="B196" s="4"/>
      <c r="C196" s="14"/>
    </row>
    <row r="197">
      <c r="A197" s="5"/>
      <c r="B197" s="4"/>
      <c r="C197" s="14"/>
    </row>
    <row r="198">
      <c r="A198" s="5"/>
      <c r="B198" s="4"/>
      <c r="C198" s="14"/>
    </row>
    <row r="199">
      <c r="A199" s="5"/>
      <c r="B199" s="4"/>
      <c r="C199" s="14"/>
    </row>
    <row r="200">
      <c r="A200" s="5"/>
      <c r="B200" s="4"/>
      <c r="C200" s="14"/>
    </row>
    <row r="201">
      <c r="A201" s="5"/>
      <c r="B201" s="4"/>
      <c r="C201" s="14"/>
    </row>
    <row r="202">
      <c r="A202" s="5"/>
      <c r="B202" s="4"/>
      <c r="C202" s="14"/>
    </row>
    <row r="203">
      <c r="A203" s="5"/>
      <c r="B203" s="4"/>
      <c r="C203" s="14"/>
    </row>
    <row r="204">
      <c r="A204" s="5"/>
      <c r="B204" s="4"/>
      <c r="C204" s="14"/>
    </row>
    <row r="205">
      <c r="A205" s="5"/>
      <c r="B205" s="4"/>
      <c r="C205" s="14"/>
    </row>
    <row r="206">
      <c r="A206" s="5"/>
      <c r="B206" s="4"/>
      <c r="C206" s="14"/>
    </row>
    <row r="207">
      <c r="A207" s="5"/>
      <c r="B207" s="4"/>
      <c r="C207" s="14"/>
    </row>
    <row r="208">
      <c r="A208" s="5"/>
      <c r="B208" s="4"/>
      <c r="C208" s="14"/>
    </row>
    <row r="209">
      <c r="A209" s="5"/>
      <c r="B209" s="4"/>
      <c r="C209" s="14"/>
    </row>
    <row r="210">
      <c r="A210" s="5"/>
      <c r="B210" s="4"/>
      <c r="C210" s="14"/>
    </row>
    <row r="211">
      <c r="A211" s="5"/>
      <c r="B211" s="4"/>
      <c r="C211" s="14"/>
    </row>
    <row r="212">
      <c r="A212" s="5"/>
      <c r="B212" s="4"/>
      <c r="C212" s="14"/>
    </row>
    <row r="213">
      <c r="A213" s="5"/>
      <c r="B213" s="4"/>
      <c r="C213" s="14"/>
    </row>
    <row r="214">
      <c r="A214" s="5"/>
      <c r="B214" s="4"/>
      <c r="C214" s="14"/>
    </row>
    <row r="215">
      <c r="A215" s="5"/>
      <c r="B215" s="4"/>
      <c r="C215" s="14"/>
    </row>
    <row r="216">
      <c r="A216" s="5"/>
      <c r="B216" s="4"/>
      <c r="C216" s="14"/>
    </row>
    <row r="217">
      <c r="A217" s="5"/>
      <c r="B217" s="4"/>
      <c r="C217" s="14"/>
    </row>
    <row r="218">
      <c r="A218" s="5"/>
      <c r="B218" s="4"/>
      <c r="C218" s="14"/>
    </row>
    <row r="219">
      <c r="A219" s="5"/>
      <c r="B219" s="4"/>
      <c r="C219" s="14"/>
    </row>
    <row r="220">
      <c r="A220" s="5"/>
      <c r="B220" s="4"/>
      <c r="C220" s="14"/>
    </row>
    <row r="221">
      <c r="A221" s="5"/>
      <c r="B221" s="4"/>
      <c r="C221" s="14"/>
    </row>
    <row r="222">
      <c r="A222" s="5"/>
      <c r="B222" s="4"/>
      <c r="C222" s="14"/>
    </row>
    <row r="223">
      <c r="A223" s="5"/>
      <c r="B223" s="4"/>
      <c r="C223" s="14"/>
    </row>
    <row r="224">
      <c r="A224" s="5"/>
      <c r="B224" s="4"/>
      <c r="C224" s="14"/>
    </row>
    <row r="225">
      <c r="A225" s="5"/>
      <c r="B225" s="4"/>
      <c r="C225" s="14"/>
    </row>
    <row r="226">
      <c r="A226" s="5"/>
      <c r="B226" s="4"/>
      <c r="C226" s="14"/>
    </row>
    <row r="227">
      <c r="A227" s="5"/>
      <c r="B227" s="4"/>
      <c r="C227" s="14"/>
    </row>
    <row r="228">
      <c r="A228" s="5"/>
      <c r="B228" s="4"/>
      <c r="C228" s="14"/>
    </row>
    <row r="229">
      <c r="A229" s="5"/>
      <c r="B229" s="4"/>
      <c r="C229" s="14"/>
    </row>
    <row r="230">
      <c r="A230" s="5"/>
      <c r="B230" s="4"/>
      <c r="C230" s="14"/>
    </row>
    <row r="231">
      <c r="A231" s="5"/>
      <c r="B231" s="4"/>
      <c r="C231" s="14"/>
    </row>
    <row r="232">
      <c r="A232" s="5"/>
      <c r="B232" s="4"/>
      <c r="C232" s="14"/>
    </row>
    <row r="233">
      <c r="A233" s="5"/>
      <c r="B233" s="4"/>
      <c r="C233" s="14"/>
    </row>
    <row r="234">
      <c r="A234" s="5"/>
      <c r="B234" s="4"/>
      <c r="C234" s="14"/>
    </row>
    <row r="235">
      <c r="A235" s="5"/>
      <c r="B235" s="4"/>
      <c r="C235" s="14"/>
    </row>
    <row r="236">
      <c r="A236" s="5"/>
      <c r="B236" s="4"/>
      <c r="C236" s="14"/>
    </row>
    <row r="237">
      <c r="A237" s="5"/>
      <c r="B237" s="4"/>
      <c r="C237" s="14"/>
    </row>
    <row r="238">
      <c r="A238" s="5"/>
      <c r="B238" s="4"/>
      <c r="C238" s="14"/>
    </row>
    <row r="239">
      <c r="A239" s="5"/>
      <c r="B239" s="4"/>
      <c r="C239" s="14"/>
    </row>
    <row r="240">
      <c r="A240" s="5"/>
      <c r="B240" s="4"/>
      <c r="C240" s="14"/>
    </row>
    <row r="241">
      <c r="A241" s="5"/>
      <c r="B241" s="4"/>
      <c r="C241" s="14"/>
    </row>
    <row r="242">
      <c r="A242" s="5"/>
      <c r="B242" s="4"/>
      <c r="C242" s="14"/>
    </row>
    <row r="243">
      <c r="A243" s="5"/>
      <c r="B243" s="4"/>
      <c r="C243" s="14"/>
    </row>
    <row r="244">
      <c r="A244" s="5"/>
      <c r="B244" s="4"/>
      <c r="C244" s="14"/>
    </row>
    <row r="245">
      <c r="A245" s="5"/>
      <c r="B245" s="4"/>
      <c r="C245" s="14"/>
    </row>
    <row r="246">
      <c r="A246" s="5"/>
      <c r="B246" s="4"/>
      <c r="C246" s="14"/>
    </row>
    <row r="247">
      <c r="A247" s="5"/>
      <c r="B247" s="4"/>
      <c r="C247" s="14"/>
    </row>
    <row r="248">
      <c r="A248" s="5"/>
      <c r="B248" s="4"/>
      <c r="C248" s="14"/>
    </row>
    <row r="249">
      <c r="A249" s="5"/>
      <c r="B249" s="4"/>
      <c r="C249" s="14"/>
    </row>
    <row r="250">
      <c r="A250" s="5"/>
      <c r="B250" s="4"/>
      <c r="C250" s="14"/>
    </row>
    <row r="251">
      <c r="A251" s="5"/>
      <c r="B251" s="4"/>
      <c r="C251" s="14"/>
    </row>
    <row r="252">
      <c r="A252" s="5"/>
      <c r="B252" s="4"/>
      <c r="C252" s="14"/>
    </row>
    <row r="253">
      <c r="A253" s="5"/>
      <c r="B253" s="4"/>
      <c r="C253" s="14"/>
    </row>
    <row r="254">
      <c r="A254" s="5"/>
      <c r="B254" s="4"/>
      <c r="C254" s="14"/>
    </row>
    <row r="255">
      <c r="A255" s="5"/>
      <c r="B255" s="4"/>
      <c r="C255" s="14"/>
    </row>
    <row r="256">
      <c r="A256" s="5"/>
      <c r="B256" s="4"/>
      <c r="C256" s="14"/>
    </row>
    <row r="257">
      <c r="A257" s="5"/>
      <c r="B257" s="4"/>
      <c r="C257" s="14"/>
    </row>
    <row r="258">
      <c r="A258" s="5"/>
      <c r="B258" s="4"/>
      <c r="C258" s="14"/>
    </row>
    <row r="259">
      <c r="A259" s="5"/>
      <c r="B259" s="4"/>
      <c r="C259" s="14"/>
    </row>
    <row r="260">
      <c r="A260" s="5"/>
      <c r="B260" s="4"/>
      <c r="C260" s="14"/>
    </row>
    <row r="261">
      <c r="A261" s="5"/>
      <c r="B261" s="4"/>
      <c r="C261" s="14"/>
    </row>
    <row r="262">
      <c r="A262" s="5"/>
      <c r="B262" s="4"/>
      <c r="C262" s="14"/>
    </row>
    <row r="263">
      <c r="A263" s="5"/>
      <c r="B263" s="4"/>
      <c r="C263" s="14"/>
    </row>
    <row r="264">
      <c r="A264" s="5"/>
      <c r="B264" s="4"/>
      <c r="C264" s="14"/>
    </row>
    <row r="265">
      <c r="A265" s="5"/>
      <c r="B265" s="4"/>
      <c r="C265" s="14"/>
    </row>
    <row r="266">
      <c r="A266" s="5"/>
      <c r="B266" s="4"/>
      <c r="C266" s="14"/>
    </row>
    <row r="267">
      <c r="A267" s="5"/>
      <c r="B267" s="4"/>
      <c r="C267" s="14"/>
    </row>
    <row r="268">
      <c r="A268" s="5"/>
      <c r="B268" s="4"/>
      <c r="C268" s="14"/>
    </row>
    <row r="269">
      <c r="A269" s="5"/>
      <c r="B269" s="4"/>
      <c r="C269" s="14"/>
    </row>
    <row r="270">
      <c r="A270" s="5"/>
      <c r="B270" s="4"/>
      <c r="C270" s="14"/>
    </row>
    <row r="271">
      <c r="A271" s="5"/>
      <c r="B271" s="4"/>
      <c r="C271" s="14"/>
    </row>
    <row r="272">
      <c r="A272" s="5"/>
      <c r="B272" s="4"/>
      <c r="C272" s="14"/>
    </row>
    <row r="273">
      <c r="A273" s="5"/>
      <c r="B273" s="4"/>
      <c r="C273" s="14"/>
    </row>
    <row r="274">
      <c r="A274" s="5"/>
      <c r="B274" s="4"/>
      <c r="C274" s="14"/>
    </row>
    <row r="275">
      <c r="A275" s="5"/>
      <c r="B275" s="4"/>
      <c r="C275" s="14"/>
    </row>
    <row r="276">
      <c r="A276" s="5"/>
      <c r="B276" s="4"/>
      <c r="C276" s="14"/>
    </row>
    <row r="277">
      <c r="A277" s="5"/>
      <c r="B277" s="4"/>
      <c r="C277" s="14"/>
    </row>
    <row r="278">
      <c r="A278" s="5"/>
      <c r="B278" s="4"/>
      <c r="C278" s="14"/>
    </row>
    <row r="279">
      <c r="A279" s="5"/>
      <c r="B279" s="4"/>
      <c r="C279" s="14"/>
    </row>
    <row r="280">
      <c r="A280" s="5"/>
      <c r="B280" s="4"/>
      <c r="C280" s="14"/>
    </row>
    <row r="281">
      <c r="A281" s="5"/>
      <c r="B281" s="4"/>
      <c r="C281" s="14"/>
    </row>
    <row r="282">
      <c r="A282" s="5"/>
      <c r="B282" s="4"/>
      <c r="C282" s="14"/>
    </row>
    <row r="283">
      <c r="A283" s="5"/>
      <c r="B283" s="4"/>
      <c r="C283" s="14"/>
    </row>
    <row r="284">
      <c r="A284" s="5"/>
      <c r="B284" s="4"/>
      <c r="C284" s="14"/>
    </row>
    <row r="285">
      <c r="A285" s="5"/>
      <c r="B285" s="4"/>
      <c r="C285" s="14"/>
    </row>
    <row r="286">
      <c r="A286" s="5"/>
      <c r="B286" s="4"/>
      <c r="C286" s="14"/>
    </row>
    <row r="287">
      <c r="A287" s="5"/>
      <c r="B287" s="4"/>
      <c r="C287" s="14"/>
    </row>
    <row r="288">
      <c r="A288" s="5"/>
      <c r="B288" s="4"/>
      <c r="C288" s="14"/>
    </row>
    <row r="289">
      <c r="A289" s="5"/>
      <c r="B289" s="4"/>
      <c r="C289" s="14"/>
    </row>
    <row r="290">
      <c r="A290" s="5"/>
      <c r="B290" s="4"/>
      <c r="C290" s="14"/>
    </row>
    <row r="291">
      <c r="A291" s="5"/>
      <c r="B291" s="4"/>
      <c r="C291" s="14"/>
    </row>
    <row r="292">
      <c r="A292" s="5"/>
      <c r="B292" s="4"/>
      <c r="C292" s="14"/>
    </row>
    <row r="293">
      <c r="A293" s="5"/>
      <c r="B293" s="4"/>
      <c r="C293" s="14"/>
    </row>
    <row r="294">
      <c r="A294" s="5"/>
      <c r="B294" s="4"/>
      <c r="C294" s="14"/>
    </row>
    <row r="295">
      <c r="A295" s="5"/>
      <c r="B295" s="4"/>
      <c r="C295" s="14"/>
    </row>
    <row r="296">
      <c r="A296" s="5"/>
      <c r="B296" s="4"/>
      <c r="C296" s="14"/>
    </row>
    <row r="297">
      <c r="A297" s="5"/>
      <c r="B297" s="4"/>
      <c r="C297" s="14"/>
    </row>
    <row r="298">
      <c r="A298" s="5"/>
      <c r="B298" s="4"/>
      <c r="C298" s="14"/>
    </row>
    <row r="299">
      <c r="A299" s="5"/>
      <c r="B299" s="4"/>
      <c r="C299" s="14"/>
    </row>
    <row r="300">
      <c r="A300" s="5"/>
      <c r="B300" s="4"/>
      <c r="C300" s="14"/>
    </row>
    <row r="301">
      <c r="A301" s="5"/>
      <c r="B301" s="4"/>
      <c r="C301" s="14"/>
    </row>
    <row r="302">
      <c r="A302" s="5"/>
      <c r="B302" s="4"/>
      <c r="C302" s="14"/>
    </row>
    <row r="303">
      <c r="A303" s="5"/>
      <c r="B303" s="4"/>
      <c r="C303" s="14"/>
    </row>
    <row r="304">
      <c r="A304" s="5"/>
      <c r="B304" s="4"/>
      <c r="C304" s="14"/>
    </row>
    <row r="305">
      <c r="A305" s="5"/>
      <c r="B305" s="4"/>
      <c r="C305" s="14"/>
    </row>
    <row r="306">
      <c r="A306" s="5"/>
      <c r="B306" s="4"/>
      <c r="C306" s="14"/>
    </row>
    <row r="307">
      <c r="A307" s="5"/>
      <c r="B307" s="4"/>
      <c r="C307" s="14"/>
    </row>
    <row r="308">
      <c r="A308" s="5"/>
      <c r="B308" s="4"/>
      <c r="C308" s="14"/>
    </row>
    <row r="309">
      <c r="A309" s="5"/>
      <c r="B309" s="4"/>
      <c r="C309" s="14"/>
    </row>
    <row r="310">
      <c r="A310" s="5"/>
      <c r="B310" s="4"/>
      <c r="C310" s="14"/>
    </row>
    <row r="311">
      <c r="A311" s="5"/>
      <c r="B311" s="4"/>
      <c r="C311" s="14"/>
    </row>
    <row r="312">
      <c r="A312" s="5"/>
      <c r="B312" s="4"/>
      <c r="C312" s="14"/>
    </row>
    <row r="313">
      <c r="A313" s="5"/>
      <c r="B313" s="4"/>
      <c r="C313" s="14"/>
    </row>
    <row r="314">
      <c r="A314" s="5"/>
      <c r="B314" s="4"/>
      <c r="C314" s="14"/>
    </row>
    <row r="315">
      <c r="A315" s="5"/>
      <c r="B315" s="4"/>
      <c r="C315" s="14"/>
    </row>
    <row r="316">
      <c r="A316" s="5"/>
      <c r="B316" s="4"/>
      <c r="C316" s="14"/>
    </row>
    <row r="317">
      <c r="A317" s="5"/>
      <c r="B317" s="4"/>
      <c r="C317" s="14"/>
    </row>
    <row r="318">
      <c r="A318" s="5"/>
      <c r="B318" s="4"/>
      <c r="C318" s="14"/>
    </row>
    <row r="319">
      <c r="A319" s="5"/>
      <c r="B319" s="4"/>
      <c r="C319" s="14"/>
    </row>
    <row r="320">
      <c r="A320" s="5"/>
      <c r="B320" s="4"/>
      <c r="C320" s="14"/>
    </row>
    <row r="321">
      <c r="A321" s="5"/>
      <c r="B321" s="4"/>
      <c r="C321" s="14"/>
    </row>
    <row r="322">
      <c r="A322" s="5"/>
      <c r="B322" s="4"/>
      <c r="C322" s="14"/>
    </row>
    <row r="323">
      <c r="A323" s="5"/>
      <c r="B323" s="4"/>
      <c r="C323" s="14"/>
    </row>
    <row r="324">
      <c r="A324" s="5"/>
      <c r="B324" s="4"/>
      <c r="C324" s="14"/>
    </row>
    <row r="325">
      <c r="A325" s="5"/>
      <c r="B325" s="4"/>
      <c r="C325" s="14"/>
    </row>
    <row r="326">
      <c r="A326" s="5"/>
      <c r="B326" s="4"/>
      <c r="C326" s="14"/>
    </row>
    <row r="327">
      <c r="A327" s="5"/>
      <c r="B327" s="4"/>
      <c r="C327" s="14"/>
    </row>
    <row r="328">
      <c r="A328" s="5"/>
      <c r="B328" s="4"/>
      <c r="C328" s="14"/>
    </row>
    <row r="329">
      <c r="A329" s="5"/>
      <c r="B329" s="4"/>
      <c r="C329" s="14"/>
    </row>
    <row r="330">
      <c r="A330" s="5"/>
      <c r="B330" s="4"/>
      <c r="C330" s="14"/>
    </row>
    <row r="331">
      <c r="A331" s="5"/>
      <c r="B331" s="4"/>
      <c r="C331" s="14"/>
    </row>
    <row r="332">
      <c r="A332" s="5"/>
      <c r="B332" s="4"/>
      <c r="C332" s="14"/>
    </row>
    <row r="333">
      <c r="A333" s="5"/>
      <c r="B333" s="4"/>
      <c r="C333" s="14"/>
    </row>
    <row r="334">
      <c r="A334" s="5"/>
      <c r="B334" s="4"/>
      <c r="C334" s="14"/>
    </row>
    <row r="335">
      <c r="A335" s="5"/>
      <c r="B335" s="4"/>
      <c r="C335" s="14"/>
    </row>
    <row r="336">
      <c r="A336" s="5"/>
      <c r="B336" s="4"/>
      <c r="C336" s="14"/>
    </row>
    <row r="337">
      <c r="A337" s="5"/>
      <c r="B337" s="4"/>
      <c r="C337" s="14"/>
    </row>
    <row r="338">
      <c r="A338" s="5"/>
      <c r="B338" s="4"/>
      <c r="C338" s="14"/>
    </row>
    <row r="339">
      <c r="A339" s="5"/>
      <c r="B339" s="4"/>
      <c r="C339" s="14"/>
    </row>
    <row r="340">
      <c r="A340" s="5"/>
      <c r="B340" s="4"/>
      <c r="C340" s="14"/>
    </row>
    <row r="341">
      <c r="A341" s="5"/>
      <c r="B341" s="4"/>
      <c r="C341" s="14"/>
    </row>
    <row r="342">
      <c r="A342" s="5"/>
      <c r="B342" s="4"/>
      <c r="C342" s="14"/>
    </row>
    <row r="343">
      <c r="A343" s="5"/>
      <c r="B343" s="4"/>
      <c r="C343" s="14"/>
    </row>
    <row r="344">
      <c r="A344" s="5"/>
      <c r="B344" s="4"/>
      <c r="C344" s="14"/>
    </row>
    <row r="345">
      <c r="A345" s="5"/>
      <c r="B345" s="4"/>
      <c r="C345" s="14"/>
    </row>
    <row r="346">
      <c r="A346" s="5"/>
      <c r="B346" s="4"/>
      <c r="C346" s="14"/>
    </row>
    <row r="347">
      <c r="A347" s="5"/>
      <c r="B347" s="4"/>
      <c r="C347" s="14"/>
    </row>
    <row r="348">
      <c r="A348" s="5"/>
      <c r="B348" s="4"/>
      <c r="C348" s="14"/>
    </row>
    <row r="349">
      <c r="A349" s="5"/>
      <c r="B349" s="4"/>
      <c r="C349" s="14"/>
    </row>
    <row r="350">
      <c r="A350" s="5"/>
      <c r="B350" s="4"/>
      <c r="C350" s="14"/>
    </row>
    <row r="351">
      <c r="A351" s="5"/>
      <c r="B351" s="4"/>
      <c r="C351" s="14"/>
    </row>
    <row r="352">
      <c r="A352" s="5"/>
      <c r="B352" s="4"/>
      <c r="C352" s="14"/>
    </row>
    <row r="353">
      <c r="A353" s="5"/>
      <c r="B353" s="4"/>
      <c r="C353" s="14"/>
    </row>
    <row r="354">
      <c r="A354" s="5"/>
      <c r="B354" s="4"/>
      <c r="C354" s="14"/>
    </row>
    <row r="355">
      <c r="A355" s="5"/>
      <c r="B355" s="4"/>
      <c r="C355" s="14"/>
    </row>
    <row r="356">
      <c r="A356" s="5"/>
      <c r="B356" s="4"/>
      <c r="C356" s="14"/>
    </row>
    <row r="357">
      <c r="A357" s="5"/>
      <c r="B357" s="4"/>
      <c r="C357" s="14"/>
    </row>
    <row r="358">
      <c r="A358" s="5"/>
      <c r="B358" s="4"/>
      <c r="C358" s="14"/>
    </row>
    <row r="359">
      <c r="A359" s="5"/>
      <c r="B359" s="4"/>
      <c r="C359" s="14"/>
    </row>
    <row r="360">
      <c r="A360" s="5"/>
      <c r="B360" s="4"/>
      <c r="C360" s="14"/>
    </row>
    <row r="361">
      <c r="A361" s="5"/>
      <c r="B361" s="4"/>
      <c r="C361" s="14"/>
    </row>
    <row r="362">
      <c r="A362" s="5"/>
      <c r="B362" s="4"/>
      <c r="C362" s="14"/>
    </row>
    <row r="363">
      <c r="A363" s="5"/>
      <c r="B363" s="4"/>
      <c r="C363" s="14"/>
    </row>
    <row r="364">
      <c r="A364" s="5"/>
      <c r="B364" s="4"/>
      <c r="C364" s="14"/>
    </row>
    <row r="365">
      <c r="A365" s="5"/>
      <c r="B365" s="4"/>
      <c r="C365" s="14"/>
    </row>
    <row r="366">
      <c r="A366" s="5"/>
      <c r="B366" s="4"/>
      <c r="C366" s="14"/>
    </row>
    <row r="367">
      <c r="A367" s="5"/>
      <c r="B367" s="4"/>
      <c r="C367" s="14"/>
    </row>
    <row r="368">
      <c r="A368" s="5"/>
      <c r="B368" s="4"/>
      <c r="C368" s="14"/>
    </row>
    <row r="369">
      <c r="A369" s="5"/>
      <c r="B369" s="4"/>
      <c r="C369" s="14"/>
    </row>
    <row r="370">
      <c r="A370" s="5"/>
      <c r="B370" s="4"/>
      <c r="C370" s="14"/>
    </row>
    <row r="371">
      <c r="A371" s="5"/>
      <c r="B371" s="4"/>
      <c r="C371" s="14"/>
    </row>
    <row r="372">
      <c r="A372" s="5"/>
      <c r="B372" s="4"/>
      <c r="C372" s="14"/>
    </row>
    <row r="373">
      <c r="A373" s="5"/>
      <c r="B373" s="4"/>
      <c r="C373" s="14"/>
    </row>
    <row r="374">
      <c r="A374" s="5"/>
      <c r="B374" s="4"/>
      <c r="C374" s="14"/>
    </row>
    <row r="375">
      <c r="A375" s="5"/>
      <c r="B375" s="4"/>
      <c r="C375" s="14"/>
    </row>
    <row r="376">
      <c r="A376" s="5"/>
      <c r="B376" s="4"/>
      <c r="C376" s="14"/>
    </row>
    <row r="377">
      <c r="A377" s="5"/>
      <c r="B377" s="4"/>
      <c r="C377" s="14"/>
    </row>
    <row r="378">
      <c r="A378" s="5"/>
      <c r="B378" s="4"/>
      <c r="C378" s="14"/>
    </row>
    <row r="379">
      <c r="A379" s="5"/>
      <c r="B379" s="4"/>
      <c r="C379" s="14"/>
    </row>
    <row r="380">
      <c r="A380" s="5"/>
      <c r="B380" s="4"/>
      <c r="C380" s="14"/>
    </row>
    <row r="381">
      <c r="A381" s="5"/>
      <c r="B381" s="4"/>
      <c r="C381" s="14"/>
    </row>
    <row r="382">
      <c r="A382" s="5"/>
      <c r="B382" s="4"/>
      <c r="C382" s="14"/>
    </row>
    <row r="383">
      <c r="A383" s="5"/>
      <c r="B383" s="4"/>
      <c r="C383" s="14"/>
    </row>
    <row r="384">
      <c r="A384" s="5"/>
      <c r="B384" s="4"/>
      <c r="C384" s="14"/>
    </row>
    <row r="385">
      <c r="A385" s="5"/>
      <c r="B385" s="4"/>
      <c r="C385" s="14"/>
    </row>
    <row r="386">
      <c r="A386" s="5"/>
      <c r="B386" s="4"/>
      <c r="C386" s="14"/>
    </row>
    <row r="387">
      <c r="A387" s="5"/>
      <c r="B387" s="4"/>
      <c r="C387" s="14"/>
    </row>
    <row r="388">
      <c r="A388" s="5"/>
      <c r="B388" s="4"/>
      <c r="C388" s="14"/>
    </row>
    <row r="389">
      <c r="A389" s="5"/>
      <c r="B389" s="4"/>
      <c r="C389" s="14"/>
    </row>
    <row r="390">
      <c r="A390" s="5"/>
      <c r="B390" s="4"/>
      <c r="C390" s="14"/>
    </row>
    <row r="391">
      <c r="A391" s="5"/>
      <c r="B391" s="4"/>
      <c r="C391" s="14"/>
    </row>
    <row r="392">
      <c r="A392" s="5"/>
      <c r="B392" s="4"/>
      <c r="C392" s="14"/>
    </row>
    <row r="393">
      <c r="A393" s="5"/>
      <c r="B393" s="4"/>
      <c r="C393" s="14"/>
    </row>
    <row r="394">
      <c r="A394" s="5"/>
      <c r="B394" s="4"/>
      <c r="C394" s="14"/>
    </row>
    <row r="395">
      <c r="A395" s="5"/>
      <c r="B395" s="4"/>
      <c r="C395" s="14"/>
    </row>
    <row r="396">
      <c r="A396" s="5"/>
      <c r="B396" s="4"/>
      <c r="C396" s="14"/>
    </row>
    <row r="397">
      <c r="A397" s="5"/>
      <c r="B397" s="4"/>
      <c r="C397" s="14"/>
    </row>
    <row r="398">
      <c r="A398" s="5"/>
      <c r="B398" s="4"/>
      <c r="C398" s="14"/>
    </row>
    <row r="399">
      <c r="A399" s="5"/>
      <c r="B399" s="4"/>
      <c r="C399" s="14"/>
    </row>
    <row r="400">
      <c r="A400" s="5"/>
      <c r="B400" s="4"/>
      <c r="C400" s="14"/>
    </row>
    <row r="401">
      <c r="A401" s="5"/>
      <c r="B401" s="4"/>
      <c r="C401" s="14"/>
    </row>
    <row r="402">
      <c r="A402" s="5"/>
      <c r="B402" s="4"/>
      <c r="C402" s="14"/>
    </row>
    <row r="403">
      <c r="A403" s="5"/>
      <c r="B403" s="4"/>
      <c r="C403" s="14"/>
    </row>
    <row r="404">
      <c r="A404" s="5"/>
      <c r="B404" s="4"/>
      <c r="C404" s="14"/>
    </row>
    <row r="405">
      <c r="A405" s="5"/>
      <c r="B405" s="4"/>
      <c r="C405" s="14"/>
    </row>
    <row r="406">
      <c r="A406" s="5"/>
      <c r="B406" s="4"/>
      <c r="C406" s="14"/>
    </row>
    <row r="407">
      <c r="A407" s="5"/>
      <c r="B407" s="4"/>
      <c r="C407" s="14"/>
    </row>
    <row r="408">
      <c r="A408" s="5"/>
      <c r="B408" s="4"/>
      <c r="C408" s="14"/>
    </row>
    <row r="409">
      <c r="A409" s="5"/>
      <c r="B409" s="4"/>
      <c r="C409" s="14"/>
    </row>
    <row r="410">
      <c r="A410" s="5"/>
      <c r="B410" s="4"/>
      <c r="C410" s="14"/>
    </row>
    <row r="411">
      <c r="A411" s="5"/>
      <c r="B411" s="4"/>
      <c r="C411" s="14"/>
    </row>
    <row r="412">
      <c r="A412" s="5"/>
      <c r="B412" s="4"/>
      <c r="C412" s="14"/>
    </row>
    <row r="413">
      <c r="A413" s="5"/>
      <c r="B413" s="4"/>
      <c r="C413" s="14"/>
    </row>
    <row r="414">
      <c r="A414" s="5"/>
      <c r="B414" s="4"/>
      <c r="C414" s="14"/>
    </row>
    <row r="415">
      <c r="A415" s="5"/>
      <c r="B415" s="4"/>
      <c r="C415" s="14"/>
    </row>
    <row r="416">
      <c r="A416" s="5"/>
      <c r="B416" s="4"/>
      <c r="C416" s="14"/>
    </row>
    <row r="417">
      <c r="A417" s="5"/>
      <c r="B417" s="4"/>
      <c r="C417" s="14"/>
    </row>
    <row r="418">
      <c r="A418" s="5"/>
      <c r="B418" s="4"/>
      <c r="C418" s="14"/>
    </row>
    <row r="419">
      <c r="A419" s="5"/>
      <c r="B419" s="4"/>
      <c r="C419" s="14"/>
    </row>
    <row r="420">
      <c r="A420" s="5"/>
      <c r="B420" s="4"/>
      <c r="C420" s="14"/>
    </row>
    <row r="421">
      <c r="A421" s="5"/>
      <c r="B421" s="4"/>
      <c r="C421" s="14"/>
    </row>
    <row r="422">
      <c r="A422" s="5"/>
      <c r="B422" s="4"/>
      <c r="C422" s="14"/>
    </row>
    <row r="423">
      <c r="A423" s="5"/>
      <c r="B423" s="4"/>
      <c r="C423" s="14"/>
    </row>
    <row r="424">
      <c r="A424" s="5"/>
      <c r="B424" s="4"/>
      <c r="C424" s="14"/>
    </row>
    <row r="425">
      <c r="A425" s="5"/>
      <c r="B425" s="4"/>
      <c r="C425" s="14"/>
    </row>
    <row r="426">
      <c r="A426" s="5"/>
      <c r="B426" s="4"/>
      <c r="C426" s="14"/>
    </row>
    <row r="427">
      <c r="A427" s="5"/>
      <c r="B427" s="4"/>
      <c r="C427" s="14"/>
    </row>
    <row r="428">
      <c r="A428" s="5"/>
      <c r="B428" s="4"/>
      <c r="C428" s="14"/>
    </row>
    <row r="429">
      <c r="A429" s="5"/>
      <c r="B429" s="4"/>
      <c r="C429" s="14"/>
    </row>
    <row r="430">
      <c r="A430" s="5"/>
      <c r="B430" s="4"/>
      <c r="C430" s="14"/>
    </row>
    <row r="431">
      <c r="A431" s="5"/>
      <c r="B431" s="4"/>
      <c r="C431" s="14"/>
    </row>
    <row r="432">
      <c r="A432" s="5"/>
      <c r="B432" s="4"/>
      <c r="C432" s="14"/>
    </row>
    <row r="433">
      <c r="A433" s="5"/>
      <c r="B433" s="4"/>
      <c r="C433" s="14"/>
    </row>
    <row r="434">
      <c r="A434" s="5"/>
      <c r="B434" s="4"/>
      <c r="C434" s="14"/>
    </row>
    <row r="435">
      <c r="A435" s="5"/>
      <c r="B435" s="4"/>
      <c r="C435" s="14"/>
    </row>
    <row r="436">
      <c r="A436" s="5"/>
      <c r="B436" s="4"/>
      <c r="C436" s="14"/>
    </row>
    <row r="437">
      <c r="A437" s="5"/>
      <c r="B437" s="4"/>
      <c r="C437" s="14"/>
    </row>
    <row r="438">
      <c r="A438" s="5"/>
      <c r="B438" s="4"/>
      <c r="C438" s="14"/>
    </row>
    <row r="439">
      <c r="A439" s="5"/>
      <c r="B439" s="4"/>
      <c r="C439" s="14"/>
    </row>
    <row r="440">
      <c r="A440" s="5"/>
      <c r="B440" s="4"/>
      <c r="C440" s="14"/>
    </row>
    <row r="441">
      <c r="A441" s="5"/>
      <c r="B441" s="4"/>
      <c r="C441" s="14"/>
    </row>
    <row r="442">
      <c r="A442" s="5"/>
      <c r="B442" s="4"/>
      <c r="C442" s="14"/>
    </row>
    <row r="443">
      <c r="A443" s="5"/>
      <c r="B443" s="4"/>
      <c r="C443" s="14"/>
    </row>
    <row r="444">
      <c r="A444" s="5"/>
      <c r="B444" s="4"/>
      <c r="C444" s="14"/>
    </row>
    <row r="445">
      <c r="A445" s="5"/>
      <c r="B445" s="4"/>
      <c r="C445" s="14"/>
    </row>
    <row r="446">
      <c r="A446" s="5"/>
      <c r="B446" s="4"/>
      <c r="C446" s="14"/>
    </row>
    <row r="447">
      <c r="A447" s="5"/>
      <c r="B447" s="4"/>
      <c r="C447" s="14"/>
    </row>
    <row r="448">
      <c r="A448" s="5"/>
      <c r="B448" s="4"/>
      <c r="C448" s="14"/>
    </row>
    <row r="449">
      <c r="A449" s="5"/>
      <c r="B449" s="4"/>
      <c r="C449" s="14"/>
    </row>
    <row r="450">
      <c r="A450" s="5"/>
      <c r="B450" s="4"/>
      <c r="C450" s="14"/>
    </row>
    <row r="451">
      <c r="A451" s="5"/>
      <c r="B451" s="4"/>
      <c r="C451" s="14"/>
    </row>
    <row r="452">
      <c r="A452" s="5"/>
      <c r="B452" s="4"/>
      <c r="C452" s="14"/>
    </row>
    <row r="453">
      <c r="A453" s="5"/>
      <c r="B453" s="4"/>
      <c r="C453" s="14"/>
    </row>
    <row r="454">
      <c r="A454" s="5"/>
      <c r="B454" s="4"/>
      <c r="C454" s="14"/>
    </row>
    <row r="455">
      <c r="A455" s="5"/>
      <c r="B455" s="4"/>
      <c r="C455" s="14"/>
    </row>
    <row r="456">
      <c r="A456" s="5"/>
      <c r="B456" s="4"/>
      <c r="C456" s="14"/>
    </row>
    <row r="457">
      <c r="A457" s="5"/>
      <c r="B457" s="4"/>
      <c r="C457" s="14"/>
    </row>
    <row r="458">
      <c r="A458" s="5"/>
      <c r="B458" s="4"/>
      <c r="C458" s="14"/>
    </row>
    <row r="459">
      <c r="A459" s="5"/>
      <c r="B459" s="4"/>
      <c r="C459" s="14"/>
    </row>
    <row r="460">
      <c r="A460" s="5"/>
      <c r="B460" s="4"/>
      <c r="C460" s="14"/>
    </row>
    <row r="461">
      <c r="A461" s="5"/>
      <c r="B461" s="4"/>
      <c r="C461" s="14"/>
    </row>
    <row r="462">
      <c r="A462" s="5"/>
      <c r="B462" s="4"/>
      <c r="C462" s="14"/>
    </row>
    <row r="463">
      <c r="A463" s="5"/>
      <c r="B463" s="4"/>
      <c r="C463" s="14"/>
    </row>
    <row r="464">
      <c r="A464" s="5"/>
      <c r="B464" s="4"/>
      <c r="C464" s="14"/>
    </row>
    <row r="465">
      <c r="A465" s="5"/>
      <c r="B465" s="4"/>
      <c r="C465" s="14"/>
    </row>
    <row r="466">
      <c r="A466" s="5"/>
      <c r="B466" s="4"/>
      <c r="C466" s="14"/>
    </row>
    <row r="467">
      <c r="A467" s="5"/>
      <c r="B467" s="4"/>
      <c r="C467" s="14"/>
    </row>
    <row r="468">
      <c r="A468" s="5"/>
      <c r="B468" s="4"/>
      <c r="C468" s="14"/>
    </row>
    <row r="469">
      <c r="A469" s="5"/>
      <c r="B469" s="4"/>
      <c r="C469" s="14"/>
    </row>
    <row r="470">
      <c r="A470" s="5"/>
      <c r="B470" s="4"/>
      <c r="C470" s="14"/>
    </row>
    <row r="471">
      <c r="A471" s="5"/>
      <c r="B471" s="4"/>
      <c r="C471" s="14"/>
    </row>
    <row r="472">
      <c r="A472" s="5"/>
      <c r="B472" s="4"/>
      <c r="C472" s="14"/>
    </row>
    <row r="473">
      <c r="A473" s="5"/>
      <c r="B473" s="4"/>
      <c r="C473" s="14"/>
    </row>
    <row r="474">
      <c r="A474" s="5"/>
      <c r="B474" s="4"/>
      <c r="C474" s="14"/>
    </row>
    <row r="475">
      <c r="A475" s="5"/>
      <c r="B475" s="4"/>
      <c r="C475" s="14"/>
    </row>
    <row r="476">
      <c r="A476" s="5"/>
      <c r="B476" s="4"/>
      <c r="C476" s="14"/>
    </row>
    <row r="477">
      <c r="A477" s="5"/>
      <c r="B477" s="4"/>
      <c r="C477" s="14"/>
    </row>
    <row r="478">
      <c r="A478" s="5"/>
      <c r="B478" s="4"/>
      <c r="C478" s="14"/>
    </row>
    <row r="479">
      <c r="A479" s="5"/>
      <c r="B479" s="4"/>
      <c r="C479" s="14"/>
    </row>
    <row r="480">
      <c r="A480" s="5"/>
      <c r="B480" s="4"/>
      <c r="C480" s="14"/>
    </row>
    <row r="481">
      <c r="A481" s="5"/>
      <c r="B481" s="4"/>
      <c r="C481" s="14"/>
    </row>
    <row r="482">
      <c r="A482" s="5"/>
      <c r="B482" s="4"/>
      <c r="C482" s="14"/>
    </row>
    <row r="483">
      <c r="A483" s="5"/>
      <c r="B483" s="4"/>
      <c r="C483" s="14"/>
    </row>
    <row r="484">
      <c r="A484" s="5"/>
      <c r="B484" s="4"/>
      <c r="C484" s="14"/>
    </row>
    <row r="485">
      <c r="A485" s="5"/>
      <c r="B485" s="4"/>
      <c r="C485" s="14"/>
    </row>
    <row r="486">
      <c r="A486" s="5"/>
      <c r="B486" s="4"/>
      <c r="C486" s="14"/>
    </row>
    <row r="487">
      <c r="A487" s="5"/>
      <c r="B487" s="4"/>
      <c r="C487" s="14"/>
    </row>
    <row r="488">
      <c r="A488" s="5"/>
      <c r="B488" s="4"/>
      <c r="C488" s="14"/>
    </row>
    <row r="489">
      <c r="A489" s="5"/>
      <c r="B489" s="4"/>
      <c r="C489" s="14"/>
    </row>
    <row r="490">
      <c r="A490" s="5"/>
      <c r="B490" s="4"/>
      <c r="C490" s="14"/>
    </row>
    <row r="491">
      <c r="A491" s="5"/>
      <c r="B491" s="4"/>
      <c r="C491" s="14"/>
    </row>
    <row r="492">
      <c r="A492" s="5"/>
      <c r="B492" s="4"/>
      <c r="C492" s="14"/>
    </row>
    <row r="493">
      <c r="A493" s="5"/>
      <c r="B493" s="4"/>
      <c r="C493" s="14"/>
    </row>
    <row r="494">
      <c r="A494" s="5"/>
      <c r="B494" s="4"/>
      <c r="C494" s="14"/>
    </row>
    <row r="495">
      <c r="A495" s="5"/>
      <c r="B495" s="4"/>
      <c r="C495" s="14"/>
    </row>
    <row r="496">
      <c r="A496" s="5"/>
      <c r="B496" s="4"/>
      <c r="C496" s="14"/>
    </row>
    <row r="497">
      <c r="A497" s="5"/>
      <c r="B497" s="4"/>
      <c r="C497" s="14"/>
    </row>
    <row r="498">
      <c r="A498" s="5"/>
      <c r="B498" s="4"/>
      <c r="C498" s="14"/>
    </row>
    <row r="499">
      <c r="A499" s="5"/>
      <c r="B499" s="4"/>
      <c r="C499" s="14"/>
    </row>
    <row r="500">
      <c r="A500" s="5"/>
      <c r="B500" s="4"/>
      <c r="C500" s="14"/>
    </row>
    <row r="501">
      <c r="A501" s="5"/>
      <c r="B501" s="4"/>
      <c r="C501" s="14"/>
    </row>
    <row r="502">
      <c r="A502" s="5"/>
      <c r="B502" s="4"/>
      <c r="C502" s="14"/>
    </row>
    <row r="503">
      <c r="A503" s="5"/>
      <c r="B503" s="4"/>
      <c r="C503" s="14"/>
    </row>
    <row r="504">
      <c r="A504" s="5"/>
      <c r="B504" s="4"/>
      <c r="C504" s="14"/>
    </row>
    <row r="505">
      <c r="A505" s="5"/>
      <c r="B505" s="4"/>
      <c r="C505" s="14"/>
    </row>
    <row r="506">
      <c r="A506" s="5"/>
      <c r="B506" s="4"/>
      <c r="C506" s="14"/>
    </row>
    <row r="507">
      <c r="A507" s="5"/>
      <c r="B507" s="4"/>
      <c r="C507" s="14"/>
    </row>
    <row r="508">
      <c r="A508" s="5"/>
      <c r="B508" s="4"/>
      <c r="C508" s="14"/>
    </row>
    <row r="509">
      <c r="A509" s="5"/>
      <c r="B509" s="4"/>
      <c r="C509" s="14"/>
    </row>
    <row r="510">
      <c r="A510" s="5"/>
      <c r="B510" s="4"/>
      <c r="C510" s="14"/>
    </row>
    <row r="511">
      <c r="A511" s="5"/>
      <c r="B511" s="4"/>
      <c r="C511" s="14"/>
    </row>
    <row r="512">
      <c r="A512" s="5"/>
      <c r="B512" s="4"/>
      <c r="C512" s="14"/>
    </row>
    <row r="513">
      <c r="A513" s="5"/>
      <c r="B513" s="4"/>
      <c r="C513" s="14"/>
    </row>
    <row r="514">
      <c r="A514" s="5"/>
      <c r="B514" s="4"/>
      <c r="C514" s="14"/>
    </row>
    <row r="515">
      <c r="A515" s="5"/>
      <c r="B515" s="4"/>
      <c r="C515" s="14"/>
    </row>
    <row r="516">
      <c r="A516" s="5"/>
      <c r="B516" s="4"/>
      <c r="C516" s="14"/>
    </row>
    <row r="517">
      <c r="A517" s="5"/>
      <c r="B517" s="4"/>
      <c r="C517" s="14"/>
    </row>
    <row r="518">
      <c r="A518" s="5"/>
      <c r="B518" s="4"/>
      <c r="C518" s="14"/>
    </row>
    <row r="519">
      <c r="A519" s="5"/>
      <c r="B519" s="4"/>
      <c r="C519" s="14"/>
    </row>
    <row r="520">
      <c r="A520" s="5"/>
      <c r="B520" s="4"/>
      <c r="C520" s="14"/>
    </row>
    <row r="521">
      <c r="A521" s="5"/>
      <c r="B521" s="4"/>
      <c r="C521" s="14"/>
    </row>
    <row r="522">
      <c r="A522" s="5"/>
      <c r="B522" s="4"/>
      <c r="C522" s="14"/>
    </row>
    <row r="523">
      <c r="A523" s="5"/>
      <c r="B523" s="4"/>
      <c r="C523" s="14"/>
    </row>
    <row r="524">
      <c r="A524" s="5"/>
      <c r="B524" s="4"/>
      <c r="C524" s="14"/>
    </row>
    <row r="525">
      <c r="A525" s="5"/>
      <c r="B525" s="4"/>
      <c r="C525" s="14"/>
    </row>
    <row r="526">
      <c r="A526" s="5"/>
      <c r="B526" s="4"/>
      <c r="C526" s="14"/>
    </row>
    <row r="527">
      <c r="A527" s="5"/>
      <c r="B527" s="4"/>
      <c r="C527" s="14"/>
    </row>
    <row r="528">
      <c r="A528" s="5"/>
      <c r="B528" s="4"/>
      <c r="C528" s="14"/>
    </row>
    <row r="529">
      <c r="A529" s="5"/>
      <c r="B529" s="4"/>
      <c r="C529" s="14"/>
    </row>
    <row r="530">
      <c r="A530" s="5"/>
      <c r="B530" s="4"/>
      <c r="C530" s="14"/>
    </row>
    <row r="531">
      <c r="A531" s="5"/>
      <c r="B531" s="4"/>
      <c r="C531" s="14"/>
    </row>
    <row r="532">
      <c r="A532" s="5"/>
      <c r="B532" s="4"/>
      <c r="C532" s="14"/>
    </row>
    <row r="533">
      <c r="A533" s="5"/>
      <c r="B533" s="4"/>
      <c r="C533" s="14"/>
    </row>
    <row r="534">
      <c r="A534" s="5"/>
      <c r="B534" s="4"/>
      <c r="C534" s="14"/>
    </row>
    <row r="535">
      <c r="A535" s="5"/>
      <c r="B535" s="4"/>
      <c r="C535" s="14"/>
    </row>
    <row r="536">
      <c r="A536" s="5"/>
      <c r="B536" s="4"/>
      <c r="C536" s="14"/>
    </row>
    <row r="537">
      <c r="A537" s="5"/>
      <c r="B537" s="4"/>
      <c r="C537" s="14"/>
    </row>
    <row r="538">
      <c r="A538" s="5"/>
      <c r="B538" s="4"/>
      <c r="C538" s="14"/>
    </row>
    <row r="539">
      <c r="A539" s="5"/>
      <c r="B539" s="4"/>
      <c r="C539" s="14"/>
    </row>
    <row r="540">
      <c r="A540" s="5"/>
      <c r="B540" s="4"/>
      <c r="C540" s="14"/>
    </row>
    <row r="541">
      <c r="A541" s="5"/>
      <c r="B541" s="4"/>
      <c r="C541" s="14"/>
    </row>
    <row r="542">
      <c r="A542" s="5"/>
      <c r="B542" s="4"/>
      <c r="C542" s="14"/>
    </row>
    <row r="543">
      <c r="A543" s="5"/>
      <c r="B543" s="4"/>
      <c r="C543" s="14"/>
    </row>
    <row r="544">
      <c r="A544" s="5"/>
      <c r="B544" s="4"/>
      <c r="C544" s="14"/>
    </row>
    <row r="545">
      <c r="A545" s="5"/>
      <c r="B545" s="4"/>
      <c r="C545" s="14"/>
    </row>
    <row r="546">
      <c r="A546" s="5"/>
      <c r="B546" s="4"/>
      <c r="C546" s="14"/>
    </row>
    <row r="547">
      <c r="A547" s="5"/>
      <c r="B547" s="4"/>
      <c r="C547" s="14"/>
    </row>
    <row r="548">
      <c r="A548" s="5"/>
      <c r="B548" s="4"/>
      <c r="C548" s="14"/>
    </row>
    <row r="549">
      <c r="A549" s="5"/>
      <c r="B549" s="4"/>
      <c r="C549" s="14"/>
    </row>
    <row r="550">
      <c r="A550" s="5"/>
      <c r="B550" s="4"/>
      <c r="C550" s="14"/>
    </row>
    <row r="551">
      <c r="A551" s="5"/>
      <c r="B551" s="4"/>
      <c r="C551" s="14"/>
    </row>
    <row r="552">
      <c r="A552" s="5"/>
      <c r="B552" s="4"/>
      <c r="C552" s="14"/>
    </row>
    <row r="553">
      <c r="A553" s="5"/>
      <c r="B553" s="4"/>
      <c r="C553" s="14"/>
    </row>
    <row r="554">
      <c r="A554" s="5"/>
      <c r="B554" s="4"/>
      <c r="C554" s="14"/>
    </row>
    <row r="555">
      <c r="A555" s="5"/>
      <c r="B555" s="4"/>
      <c r="C555" s="14"/>
    </row>
    <row r="556">
      <c r="A556" s="5"/>
      <c r="B556" s="4"/>
      <c r="C556" s="14"/>
    </row>
    <row r="557">
      <c r="A557" s="5"/>
      <c r="B557" s="4"/>
      <c r="C557" s="14"/>
    </row>
    <row r="558">
      <c r="A558" s="5"/>
      <c r="B558" s="4"/>
      <c r="C558" s="14"/>
    </row>
    <row r="559">
      <c r="A559" s="5"/>
      <c r="B559" s="4"/>
      <c r="C559" s="14"/>
    </row>
    <row r="560">
      <c r="A560" s="5"/>
      <c r="B560" s="4"/>
      <c r="C560" s="14"/>
    </row>
    <row r="561">
      <c r="A561" s="5"/>
      <c r="B561" s="4"/>
      <c r="C561" s="14"/>
    </row>
    <row r="562">
      <c r="A562" s="5"/>
      <c r="B562" s="4"/>
      <c r="C562" s="14"/>
    </row>
    <row r="563">
      <c r="A563" s="5"/>
      <c r="B563" s="4"/>
      <c r="C563" s="14"/>
    </row>
    <row r="564">
      <c r="A564" s="5"/>
      <c r="B564" s="4"/>
      <c r="C564" s="14"/>
    </row>
    <row r="565">
      <c r="A565" s="5"/>
      <c r="B565" s="4"/>
      <c r="C565" s="14"/>
    </row>
    <row r="566">
      <c r="A566" s="5"/>
      <c r="B566" s="4"/>
      <c r="C566" s="14"/>
    </row>
    <row r="567">
      <c r="A567" s="5"/>
      <c r="B567" s="4"/>
      <c r="C567" s="14"/>
    </row>
    <row r="568">
      <c r="A568" s="5"/>
      <c r="B568" s="4"/>
      <c r="C568" s="14"/>
    </row>
    <row r="569">
      <c r="A569" s="5"/>
      <c r="B569" s="4"/>
      <c r="C569" s="14"/>
    </row>
    <row r="570">
      <c r="A570" s="5"/>
      <c r="B570" s="4"/>
      <c r="C570" s="14"/>
    </row>
    <row r="571">
      <c r="A571" s="5"/>
      <c r="B571" s="4"/>
      <c r="C571" s="14"/>
    </row>
    <row r="572">
      <c r="A572" s="5"/>
      <c r="B572" s="4"/>
      <c r="C572" s="14"/>
    </row>
    <row r="573">
      <c r="A573" s="5"/>
      <c r="B573" s="4"/>
      <c r="C573" s="14"/>
    </row>
    <row r="574">
      <c r="A574" s="5"/>
      <c r="B574" s="4"/>
      <c r="C574" s="14"/>
    </row>
    <row r="575">
      <c r="A575" s="5"/>
      <c r="B575" s="4"/>
      <c r="C575" s="14"/>
    </row>
    <row r="576">
      <c r="A576" s="5"/>
      <c r="B576" s="4"/>
      <c r="C576" s="14"/>
    </row>
    <row r="577">
      <c r="A577" s="5"/>
      <c r="B577" s="4"/>
      <c r="C577" s="14"/>
    </row>
    <row r="578">
      <c r="A578" s="5"/>
      <c r="B578" s="4"/>
      <c r="C578" s="14"/>
    </row>
    <row r="579">
      <c r="A579" s="5"/>
      <c r="B579" s="4"/>
      <c r="C579" s="14"/>
    </row>
    <row r="580">
      <c r="A580" s="5"/>
      <c r="B580" s="4"/>
      <c r="C580" s="14"/>
    </row>
    <row r="581">
      <c r="A581" s="5"/>
      <c r="B581" s="4"/>
      <c r="C581" s="14"/>
    </row>
    <row r="582">
      <c r="A582" s="5"/>
      <c r="B582" s="4"/>
      <c r="C582" s="14"/>
    </row>
    <row r="583">
      <c r="A583" s="5"/>
      <c r="B583" s="4"/>
      <c r="C583" s="14"/>
    </row>
    <row r="584">
      <c r="A584" s="5"/>
      <c r="B584" s="4"/>
      <c r="C584" s="14"/>
    </row>
    <row r="585">
      <c r="A585" s="5"/>
      <c r="B585" s="4"/>
      <c r="C585" s="14"/>
    </row>
    <row r="586">
      <c r="A586" s="5"/>
      <c r="B586" s="4"/>
      <c r="C586" s="14"/>
    </row>
    <row r="587">
      <c r="A587" s="5"/>
      <c r="B587" s="4"/>
      <c r="C587" s="14"/>
    </row>
    <row r="588">
      <c r="A588" s="5"/>
      <c r="B588" s="4"/>
      <c r="C588" s="14"/>
    </row>
    <row r="589">
      <c r="A589" s="5"/>
      <c r="B589" s="4"/>
      <c r="C589" s="14"/>
    </row>
    <row r="590">
      <c r="A590" s="5"/>
      <c r="B590" s="4"/>
      <c r="C590" s="14"/>
    </row>
    <row r="591">
      <c r="A591" s="5"/>
      <c r="B591" s="4"/>
      <c r="C591" s="14"/>
    </row>
    <row r="592">
      <c r="A592" s="5"/>
      <c r="B592" s="4"/>
      <c r="C592" s="14"/>
    </row>
    <row r="593">
      <c r="A593" s="5"/>
      <c r="B593" s="4"/>
      <c r="C593" s="14"/>
    </row>
    <row r="594">
      <c r="A594" s="5"/>
      <c r="B594" s="4"/>
      <c r="C594" s="14"/>
    </row>
    <row r="595">
      <c r="A595" s="5"/>
      <c r="B595" s="4"/>
      <c r="C595" s="14"/>
    </row>
    <row r="596">
      <c r="A596" s="5"/>
      <c r="B596" s="4"/>
      <c r="C596" s="14"/>
    </row>
    <row r="597">
      <c r="A597" s="5"/>
      <c r="B597" s="4"/>
      <c r="C597" s="14"/>
    </row>
    <row r="598">
      <c r="A598" s="5"/>
      <c r="B598" s="4"/>
      <c r="C598" s="14"/>
    </row>
    <row r="599">
      <c r="A599" s="5"/>
      <c r="B599" s="4"/>
      <c r="C599" s="14"/>
    </row>
    <row r="600">
      <c r="A600" s="5"/>
      <c r="B600" s="4"/>
      <c r="C600" s="14"/>
    </row>
    <row r="601">
      <c r="A601" s="5"/>
      <c r="B601" s="4"/>
      <c r="C601" s="14"/>
    </row>
    <row r="602">
      <c r="A602" s="5"/>
      <c r="B602" s="4"/>
      <c r="C602" s="14"/>
    </row>
    <row r="603">
      <c r="A603" s="5"/>
      <c r="B603" s="4"/>
      <c r="C603" s="14"/>
    </row>
    <row r="604">
      <c r="A604" s="5"/>
      <c r="B604" s="4"/>
      <c r="C604" s="14"/>
    </row>
    <row r="605">
      <c r="A605" s="5"/>
      <c r="B605" s="4"/>
      <c r="C605" s="14"/>
    </row>
    <row r="606">
      <c r="A606" s="5"/>
      <c r="B606" s="4"/>
      <c r="C606" s="14"/>
    </row>
    <row r="607">
      <c r="A607" s="5"/>
      <c r="B607" s="4"/>
      <c r="C607" s="14"/>
    </row>
    <row r="608">
      <c r="A608" s="5"/>
      <c r="B608" s="4"/>
      <c r="C608" s="14"/>
    </row>
    <row r="609">
      <c r="A609" s="5"/>
      <c r="B609" s="4"/>
      <c r="C609" s="14"/>
    </row>
    <row r="610">
      <c r="A610" s="5"/>
      <c r="B610" s="4"/>
      <c r="C610" s="14"/>
    </row>
    <row r="611">
      <c r="A611" s="5"/>
      <c r="B611" s="4"/>
      <c r="C611" s="14"/>
    </row>
    <row r="612">
      <c r="A612" s="5"/>
      <c r="B612" s="4"/>
      <c r="C612" s="14"/>
    </row>
    <row r="613">
      <c r="A613" s="5"/>
      <c r="B613" s="4"/>
      <c r="C613" s="14"/>
    </row>
    <row r="614">
      <c r="A614" s="5"/>
      <c r="B614" s="4"/>
      <c r="C614" s="14"/>
    </row>
    <row r="615">
      <c r="A615" s="5"/>
      <c r="B615" s="4"/>
      <c r="C615" s="14"/>
    </row>
    <row r="616">
      <c r="A616" s="5"/>
      <c r="B616" s="4"/>
      <c r="C616" s="14"/>
    </row>
    <row r="617">
      <c r="A617" s="5"/>
      <c r="B617" s="4"/>
      <c r="C617" s="14"/>
    </row>
    <row r="618">
      <c r="A618" s="5"/>
      <c r="B618" s="4"/>
      <c r="C618" s="14"/>
    </row>
    <row r="619">
      <c r="A619" s="5"/>
      <c r="B619" s="4"/>
      <c r="C619" s="14"/>
    </row>
    <row r="620">
      <c r="A620" s="5"/>
      <c r="B620" s="4"/>
      <c r="C620" s="14"/>
    </row>
    <row r="621">
      <c r="A621" s="5"/>
      <c r="B621" s="4"/>
      <c r="C621" s="14"/>
    </row>
    <row r="622">
      <c r="A622" s="5"/>
      <c r="B622" s="4"/>
      <c r="C622" s="14"/>
    </row>
    <row r="623">
      <c r="A623" s="5"/>
      <c r="B623" s="4"/>
      <c r="C623" s="14"/>
    </row>
    <row r="624">
      <c r="A624" s="5"/>
      <c r="B624" s="4"/>
      <c r="C624" s="14"/>
    </row>
    <row r="625">
      <c r="A625" s="5"/>
      <c r="B625" s="4"/>
      <c r="C625" s="14"/>
    </row>
    <row r="626">
      <c r="A626" s="5"/>
      <c r="B626" s="4"/>
      <c r="C626" s="14"/>
    </row>
    <row r="627">
      <c r="A627" s="5"/>
      <c r="B627" s="4"/>
      <c r="C627" s="14"/>
    </row>
    <row r="628">
      <c r="A628" s="5"/>
      <c r="B628" s="4"/>
      <c r="C628" s="14"/>
    </row>
    <row r="629">
      <c r="A629" s="5"/>
      <c r="B629" s="4"/>
      <c r="C629" s="14"/>
    </row>
    <row r="630">
      <c r="A630" s="5"/>
      <c r="B630" s="4"/>
      <c r="C630" s="14"/>
    </row>
    <row r="631">
      <c r="A631" s="5"/>
      <c r="B631" s="4"/>
      <c r="C631" s="14"/>
    </row>
    <row r="632">
      <c r="A632" s="5"/>
      <c r="B632" s="4"/>
      <c r="C632" s="14"/>
    </row>
    <row r="633">
      <c r="A633" s="5"/>
      <c r="B633" s="4"/>
      <c r="C633" s="14"/>
    </row>
    <row r="634">
      <c r="A634" s="5"/>
      <c r="B634" s="4"/>
      <c r="C634" s="14"/>
    </row>
    <row r="635">
      <c r="A635" s="5"/>
      <c r="B635" s="4"/>
      <c r="C635" s="14"/>
    </row>
    <row r="636">
      <c r="A636" s="5"/>
      <c r="B636" s="4"/>
      <c r="C636" s="14"/>
    </row>
    <row r="637">
      <c r="A637" s="5"/>
      <c r="B637" s="4"/>
      <c r="C637" s="14"/>
    </row>
    <row r="638">
      <c r="A638" s="5"/>
      <c r="B638" s="4"/>
      <c r="C638" s="14"/>
    </row>
    <row r="639">
      <c r="A639" s="5"/>
      <c r="B639" s="4"/>
      <c r="C639" s="14"/>
    </row>
    <row r="640">
      <c r="A640" s="5"/>
      <c r="B640" s="4"/>
      <c r="C640" s="14"/>
    </row>
    <row r="641">
      <c r="A641" s="5"/>
      <c r="B641" s="4"/>
      <c r="C641" s="14"/>
    </row>
    <row r="642">
      <c r="A642" s="5"/>
      <c r="B642" s="4"/>
      <c r="C642" s="14"/>
    </row>
    <row r="643">
      <c r="A643" s="5"/>
      <c r="B643" s="4"/>
      <c r="C643" s="14"/>
    </row>
    <row r="644">
      <c r="A644" s="5"/>
      <c r="B644" s="4"/>
      <c r="C644" s="14"/>
    </row>
    <row r="645">
      <c r="A645" s="5"/>
      <c r="B645" s="4"/>
      <c r="C645" s="14"/>
    </row>
    <row r="646">
      <c r="A646" s="5"/>
      <c r="B646" s="4"/>
      <c r="C646" s="14"/>
    </row>
    <row r="647">
      <c r="A647" s="5"/>
      <c r="B647" s="4"/>
      <c r="C647" s="14"/>
    </row>
    <row r="648">
      <c r="A648" s="5"/>
      <c r="B648" s="4"/>
      <c r="C648" s="14"/>
    </row>
    <row r="649">
      <c r="A649" s="5"/>
      <c r="B649" s="4"/>
      <c r="C649" s="14"/>
    </row>
    <row r="650">
      <c r="A650" s="5"/>
      <c r="B650" s="4"/>
      <c r="C650" s="14"/>
    </row>
    <row r="651">
      <c r="A651" s="5"/>
      <c r="B651" s="4"/>
      <c r="C651" s="14"/>
    </row>
    <row r="652">
      <c r="A652" s="5"/>
      <c r="B652" s="4"/>
      <c r="C652" s="14"/>
    </row>
    <row r="653">
      <c r="A653" s="5"/>
      <c r="B653" s="4"/>
      <c r="C653" s="14"/>
    </row>
    <row r="654">
      <c r="A654" s="5"/>
      <c r="B654" s="4"/>
      <c r="C654" s="14"/>
    </row>
    <row r="655">
      <c r="A655" s="5"/>
      <c r="B655" s="4"/>
      <c r="C655" s="14"/>
    </row>
    <row r="656">
      <c r="A656" s="5"/>
      <c r="B656" s="4"/>
      <c r="C656" s="14"/>
    </row>
    <row r="657">
      <c r="A657" s="5"/>
      <c r="B657" s="4"/>
      <c r="C657" s="14"/>
    </row>
    <row r="658">
      <c r="A658" s="5"/>
      <c r="B658" s="4"/>
      <c r="C658" s="14"/>
    </row>
    <row r="659">
      <c r="A659" s="5"/>
      <c r="B659" s="4"/>
      <c r="C659" s="14"/>
    </row>
    <row r="660">
      <c r="A660" s="5"/>
      <c r="B660" s="4"/>
      <c r="C660" s="14"/>
    </row>
    <row r="661">
      <c r="A661" s="5"/>
      <c r="B661" s="4"/>
      <c r="C661" s="14"/>
    </row>
    <row r="662">
      <c r="A662" s="5"/>
      <c r="B662" s="4"/>
      <c r="C662" s="14"/>
    </row>
    <row r="663">
      <c r="A663" s="5"/>
      <c r="B663" s="4"/>
      <c r="C663" s="14"/>
    </row>
    <row r="664">
      <c r="A664" s="5"/>
      <c r="B664" s="4"/>
      <c r="C664" s="14"/>
    </row>
    <row r="665">
      <c r="A665" s="5"/>
      <c r="B665" s="4"/>
      <c r="C665" s="14"/>
    </row>
    <row r="666">
      <c r="A666" s="5"/>
      <c r="B666" s="4"/>
      <c r="C666" s="14"/>
    </row>
    <row r="667">
      <c r="A667" s="5"/>
      <c r="B667" s="4"/>
      <c r="C667" s="14"/>
    </row>
    <row r="668">
      <c r="A668" s="5"/>
      <c r="B668" s="4"/>
      <c r="C668" s="14"/>
    </row>
    <row r="669">
      <c r="A669" s="5"/>
      <c r="B669" s="4"/>
      <c r="C669" s="14"/>
    </row>
    <row r="670">
      <c r="A670" s="5"/>
      <c r="B670" s="4"/>
      <c r="C670" s="14"/>
    </row>
    <row r="671">
      <c r="A671" s="5"/>
      <c r="B671" s="4"/>
      <c r="C671" s="14"/>
    </row>
    <row r="672">
      <c r="A672" s="5"/>
      <c r="B672" s="4"/>
      <c r="C672" s="14"/>
    </row>
    <row r="673">
      <c r="A673" s="5"/>
      <c r="B673" s="4"/>
      <c r="C673" s="14"/>
    </row>
    <row r="674">
      <c r="A674" s="5"/>
      <c r="B674" s="4"/>
      <c r="C674" s="14"/>
    </row>
    <row r="675">
      <c r="A675" s="5"/>
      <c r="B675" s="4"/>
      <c r="C675" s="14"/>
    </row>
    <row r="676">
      <c r="A676" s="5"/>
      <c r="B676" s="4"/>
      <c r="C676" s="14"/>
    </row>
    <row r="677">
      <c r="A677" s="5"/>
      <c r="B677" s="4"/>
      <c r="C677" s="14"/>
    </row>
    <row r="678">
      <c r="A678" s="5"/>
      <c r="B678" s="4"/>
      <c r="C678" s="14"/>
    </row>
    <row r="679">
      <c r="A679" s="5"/>
      <c r="B679" s="4"/>
      <c r="C679" s="14"/>
    </row>
    <row r="680">
      <c r="A680" s="5"/>
      <c r="B680" s="4"/>
      <c r="C680" s="14"/>
    </row>
    <row r="681">
      <c r="A681" s="5"/>
      <c r="B681" s="4"/>
      <c r="C681" s="14"/>
    </row>
    <row r="682">
      <c r="A682" s="5"/>
      <c r="B682" s="4"/>
      <c r="C682" s="14"/>
    </row>
    <row r="683">
      <c r="A683" s="5"/>
      <c r="B683" s="4"/>
      <c r="C683" s="14"/>
    </row>
    <row r="684">
      <c r="A684" s="5"/>
      <c r="B684" s="4"/>
      <c r="C684" s="14"/>
    </row>
    <row r="685">
      <c r="A685" s="5"/>
      <c r="B685" s="4"/>
      <c r="C685" s="14"/>
    </row>
    <row r="686">
      <c r="A686" s="5"/>
      <c r="B686" s="4"/>
      <c r="C686" s="14"/>
    </row>
    <row r="687">
      <c r="A687" s="5"/>
      <c r="B687" s="4"/>
      <c r="C687" s="14"/>
    </row>
    <row r="688">
      <c r="A688" s="5"/>
      <c r="B688" s="4"/>
      <c r="C688" s="14"/>
    </row>
    <row r="689">
      <c r="A689" s="5"/>
      <c r="B689" s="4"/>
      <c r="C689" s="14"/>
    </row>
    <row r="690">
      <c r="A690" s="5"/>
      <c r="B690" s="4"/>
      <c r="C690" s="14"/>
    </row>
    <row r="691">
      <c r="A691" s="5"/>
      <c r="B691" s="4"/>
      <c r="C691" s="14"/>
    </row>
    <row r="692">
      <c r="A692" s="5"/>
      <c r="B692" s="4"/>
      <c r="C692" s="14"/>
    </row>
    <row r="693">
      <c r="A693" s="5"/>
      <c r="B693" s="4"/>
      <c r="C693" s="14"/>
    </row>
    <row r="694">
      <c r="A694" s="5"/>
      <c r="B694" s="4"/>
      <c r="C694" s="14"/>
    </row>
    <row r="695">
      <c r="A695" s="5"/>
      <c r="B695" s="4"/>
      <c r="C695" s="14"/>
    </row>
    <row r="696">
      <c r="A696" s="5"/>
      <c r="B696" s="4"/>
      <c r="C696" s="14"/>
    </row>
    <row r="697">
      <c r="A697" s="5"/>
      <c r="B697" s="4"/>
      <c r="C697" s="14"/>
    </row>
    <row r="698">
      <c r="A698" s="5"/>
      <c r="B698" s="4"/>
      <c r="C698" s="14"/>
    </row>
    <row r="699">
      <c r="A699" s="5"/>
      <c r="B699" s="4"/>
      <c r="C699" s="14"/>
    </row>
    <row r="700">
      <c r="A700" s="5"/>
      <c r="B700" s="4"/>
      <c r="C700" s="14"/>
    </row>
    <row r="701">
      <c r="A701" s="5"/>
      <c r="B701" s="4"/>
      <c r="C701" s="14"/>
    </row>
    <row r="702">
      <c r="A702" s="5"/>
      <c r="B702" s="4"/>
      <c r="C702" s="14"/>
    </row>
    <row r="703">
      <c r="A703" s="5"/>
      <c r="B703" s="4"/>
      <c r="C703" s="14"/>
    </row>
    <row r="704">
      <c r="A704" s="5"/>
      <c r="B704" s="4"/>
      <c r="C704" s="14"/>
    </row>
    <row r="705">
      <c r="A705" s="5"/>
      <c r="B705" s="4"/>
      <c r="C705" s="14"/>
    </row>
    <row r="706">
      <c r="A706" s="5"/>
      <c r="B706" s="4"/>
      <c r="C706" s="14"/>
    </row>
    <row r="707">
      <c r="A707" s="5"/>
      <c r="B707" s="4"/>
      <c r="C707" s="14"/>
    </row>
    <row r="708">
      <c r="A708" s="5"/>
      <c r="B708" s="4"/>
      <c r="C708" s="14"/>
    </row>
    <row r="709">
      <c r="A709" s="5"/>
      <c r="B709" s="4"/>
      <c r="C709" s="14"/>
    </row>
    <row r="710">
      <c r="A710" s="5"/>
      <c r="B710" s="4"/>
      <c r="C710" s="14"/>
    </row>
    <row r="711">
      <c r="A711" s="5"/>
      <c r="B711" s="4"/>
      <c r="C711" s="14"/>
    </row>
    <row r="712">
      <c r="A712" s="5"/>
      <c r="B712" s="4"/>
      <c r="C712" s="14"/>
    </row>
    <row r="713">
      <c r="A713" s="5"/>
      <c r="B713" s="4"/>
      <c r="C713" s="14"/>
    </row>
    <row r="714">
      <c r="A714" s="5"/>
      <c r="B714" s="4"/>
      <c r="C714" s="14"/>
    </row>
    <row r="715">
      <c r="A715" s="5"/>
      <c r="B715" s="4"/>
      <c r="C715" s="14"/>
    </row>
    <row r="716">
      <c r="A716" s="5"/>
      <c r="B716" s="4"/>
      <c r="C716" s="14"/>
    </row>
    <row r="717">
      <c r="A717" s="5"/>
      <c r="B717" s="4"/>
      <c r="C717" s="14"/>
    </row>
    <row r="718">
      <c r="A718" s="5"/>
      <c r="B718" s="4"/>
      <c r="C718" s="14"/>
    </row>
    <row r="719">
      <c r="A719" s="5"/>
      <c r="B719" s="4"/>
      <c r="C719" s="14"/>
    </row>
    <row r="720">
      <c r="A720" s="5"/>
      <c r="B720" s="4"/>
      <c r="C720" s="14"/>
    </row>
    <row r="721">
      <c r="A721" s="5"/>
      <c r="B721" s="4"/>
      <c r="C721" s="14"/>
    </row>
    <row r="722">
      <c r="A722" s="5"/>
      <c r="B722" s="4"/>
      <c r="C722" s="14"/>
    </row>
    <row r="723">
      <c r="A723" s="5"/>
      <c r="B723" s="4"/>
      <c r="C723" s="14"/>
    </row>
    <row r="724">
      <c r="A724" s="5"/>
      <c r="B724" s="4"/>
      <c r="C724" s="14"/>
    </row>
    <row r="725">
      <c r="A725" s="5"/>
      <c r="B725" s="4"/>
      <c r="C725" s="14"/>
    </row>
    <row r="726">
      <c r="A726" s="5"/>
      <c r="B726" s="4"/>
      <c r="C726" s="14"/>
    </row>
    <row r="727">
      <c r="A727" s="5"/>
      <c r="B727" s="4"/>
      <c r="C727" s="14"/>
    </row>
    <row r="728">
      <c r="A728" s="5"/>
      <c r="B728" s="4"/>
      <c r="C728" s="14"/>
    </row>
    <row r="729">
      <c r="A729" s="5"/>
      <c r="B729" s="4"/>
      <c r="C729" s="14"/>
    </row>
    <row r="730">
      <c r="A730" s="5"/>
      <c r="B730" s="4"/>
      <c r="C730" s="14"/>
    </row>
    <row r="731">
      <c r="A731" s="5"/>
      <c r="B731" s="4"/>
      <c r="C731" s="14"/>
    </row>
    <row r="732">
      <c r="A732" s="5"/>
      <c r="B732" s="4"/>
      <c r="C732" s="14"/>
    </row>
    <row r="733">
      <c r="A733" s="5"/>
      <c r="B733" s="4"/>
      <c r="C733" s="14"/>
    </row>
    <row r="734">
      <c r="A734" s="5"/>
      <c r="B734" s="4"/>
      <c r="C734" s="14"/>
    </row>
    <row r="735">
      <c r="A735" s="5"/>
      <c r="B735" s="4"/>
      <c r="C735" s="14"/>
    </row>
    <row r="736">
      <c r="A736" s="5"/>
      <c r="B736" s="4"/>
      <c r="C736" s="14"/>
    </row>
    <row r="737">
      <c r="A737" s="5"/>
      <c r="B737" s="4"/>
      <c r="C737" s="14"/>
    </row>
    <row r="738">
      <c r="A738" s="5"/>
      <c r="B738" s="4"/>
      <c r="C738" s="14"/>
    </row>
    <row r="739">
      <c r="A739" s="5"/>
      <c r="B739" s="4"/>
      <c r="C739" s="14"/>
    </row>
    <row r="740">
      <c r="A740" s="5"/>
      <c r="B740" s="4"/>
      <c r="C740" s="14"/>
    </row>
    <row r="741">
      <c r="A741" s="5"/>
      <c r="B741" s="4"/>
      <c r="C741" s="14"/>
    </row>
    <row r="742">
      <c r="A742" s="5"/>
      <c r="B742" s="4"/>
      <c r="C742" s="14"/>
    </row>
    <row r="743">
      <c r="A743" s="5"/>
      <c r="B743" s="4"/>
      <c r="C743" s="14"/>
    </row>
    <row r="744">
      <c r="A744" s="5"/>
      <c r="B744" s="4"/>
      <c r="C744" s="14"/>
    </row>
    <row r="745">
      <c r="A745" s="5"/>
      <c r="B745" s="4"/>
      <c r="C745" s="14"/>
    </row>
    <row r="746">
      <c r="A746" s="5"/>
      <c r="B746" s="4"/>
      <c r="C746" s="14"/>
    </row>
    <row r="747">
      <c r="A747" s="5"/>
      <c r="B747" s="4"/>
      <c r="C747" s="14"/>
    </row>
    <row r="748">
      <c r="A748" s="5"/>
      <c r="B748" s="4"/>
      <c r="C748" s="14"/>
    </row>
    <row r="749">
      <c r="A749" s="5"/>
      <c r="B749" s="4"/>
      <c r="C749" s="14"/>
    </row>
    <row r="750">
      <c r="A750" s="5"/>
      <c r="B750" s="4"/>
      <c r="C750" s="14"/>
    </row>
    <row r="751">
      <c r="A751" s="5"/>
      <c r="B751" s="4"/>
      <c r="C751" s="14"/>
    </row>
    <row r="752">
      <c r="A752" s="5"/>
      <c r="B752" s="4"/>
      <c r="C752" s="14"/>
    </row>
    <row r="753">
      <c r="A753" s="5"/>
      <c r="B753" s="4"/>
      <c r="C753" s="14"/>
    </row>
    <row r="754">
      <c r="A754" s="5"/>
      <c r="B754" s="4"/>
      <c r="C754" s="14"/>
    </row>
    <row r="755">
      <c r="A755" s="5"/>
      <c r="B755" s="4"/>
      <c r="C755" s="14"/>
    </row>
    <row r="756">
      <c r="A756" s="5"/>
      <c r="B756" s="4"/>
      <c r="C756" s="14"/>
    </row>
    <row r="757">
      <c r="A757" s="5"/>
      <c r="B757" s="4"/>
      <c r="C757" s="14"/>
    </row>
    <row r="758">
      <c r="A758" s="5"/>
      <c r="B758" s="4"/>
      <c r="C758" s="14"/>
    </row>
    <row r="759">
      <c r="A759" s="5"/>
      <c r="B759" s="4"/>
      <c r="C759" s="14"/>
    </row>
    <row r="760">
      <c r="A760" s="5"/>
      <c r="B760" s="4"/>
      <c r="C760" s="14"/>
    </row>
    <row r="761">
      <c r="A761" s="5"/>
      <c r="B761" s="4"/>
      <c r="C761" s="14"/>
    </row>
    <row r="762">
      <c r="A762" s="5"/>
      <c r="B762" s="4"/>
      <c r="C762" s="14"/>
    </row>
    <row r="763">
      <c r="A763" s="5"/>
      <c r="B763" s="4"/>
      <c r="C763" s="14"/>
    </row>
    <row r="764">
      <c r="A764" s="5"/>
      <c r="B764" s="4"/>
      <c r="C764" s="14"/>
    </row>
    <row r="765">
      <c r="A765" s="5"/>
      <c r="B765" s="4"/>
      <c r="C765" s="14"/>
    </row>
    <row r="766">
      <c r="A766" s="5"/>
      <c r="B766" s="4"/>
      <c r="C766" s="14"/>
    </row>
    <row r="767">
      <c r="A767" s="5"/>
      <c r="B767" s="4"/>
      <c r="C767" s="14"/>
    </row>
    <row r="768">
      <c r="A768" s="5"/>
      <c r="B768" s="4"/>
      <c r="C768" s="14"/>
    </row>
    <row r="769">
      <c r="A769" s="5"/>
      <c r="B769" s="4"/>
      <c r="C769" s="14"/>
    </row>
    <row r="770">
      <c r="A770" s="5"/>
      <c r="B770" s="4"/>
      <c r="C770" s="14"/>
    </row>
    <row r="771">
      <c r="A771" s="5"/>
      <c r="B771" s="4"/>
      <c r="C771" s="14"/>
    </row>
    <row r="772">
      <c r="A772" s="5"/>
      <c r="B772" s="4"/>
      <c r="C772" s="14"/>
    </row>
    <row r="773">
      <c r="A773" s="5"/>
      <c r="B773" s="4"/>
      <c r="C773" s="14"/>
    </row>
    <row r="774">
      <c r="A774" s="5"/>
      <c r="B774" s="4"/>
      <c r="C774" s="14"/>
    </row>
    <row r="775">
      <c r="A775" s="5"/>
      <c r="B775" s="4"/>
      <c r="C775" s="14"/>
    </row>
    <row r="776">
      <c r="A776" s="5"/>
      <c r="B776" s="4"/>
      <c r="C776" s="14"/>
    </row>
    <row r="777">
      <c r="A777" s="5"/>
      <c r="B777" s="4"/>
      <c r="C777" s="14"/>
    </row>
    <row r="778">
      <c r="A778" s="5"/>
      <c r="B778" s="4"/>
      <c r="C778" s="14"/>
    </row>
    <row r="779">
      <c r="A779" s="5"/>
      <c r="B779" s="4"/>
      <c r="C779" s="14"/>
    </row>
    <row r="780">
      <c r="A780" s="5"/>
      <c r="B780" s="4"/>
      <c r="C780" s="14"/>
    </row>
    <row r="781">
      <c r="A781" s="5"/>
      <c r="B781" s="4"/>
      <c r="C781" s="14"/>
    </row>
    <row r="782">
      <c r="A782" s="5"/>
      <c r="B782" s="4"/>
      <c r="C782" s="14"/>
    </row>
    <row r="783">
      <c r="A783" s="5"/>
      <c r="B783" s="4"/>
      <c r="C783" s="14"/>
    </row>
    <row r="784">
      <c r="A784" s="5"/>
      <c r="B784" s="4"/>
      <c r="C784" s="14"/>
    </row>
    <row r="785">
      <c r="A785" s="5"/>
      <c r="B785" s="4"/>
      <c r="C785" s="14"/>
    </row>
    <row r="786">
      <c r="A786" s="5"/>
      <c r="B786" s="4"/>
      <c r="C786" s="14"/>
    </row>
    <row r="787">
      <c r="A787" s="5"/>
      <c r="B787" s="4"/>
      <c r="C787" s="14"/>
    </row>
    <row r="788">
      <c r="A788" s="5"/>
      <c r="B788" s="4"/>
      <c r="C788" s="14"/>
    </row>
    <row r="789">
      <c r="A789" s="5"/>
      <c r="B789" s="4"/>
      <c r="C789" s="14"/>
    </row>
    <row r="790">
      <c r="A790" s="5"/>
      <c r="B790" s="4"/>
      <c r="C790" s="14"/>
    </row>
    <row r="791">
      <c r="A791" s="5"/>
      <c r="B791" s="4"/>
      <c r="C791" s="14"/>
    </row>
    <row r="792">
      <c r="A792" s="5"/>
      <c r="B792" s="4"/>
      <c r="C792" s="14"/>
    </row>
    <row r="793">
      <c r="A793" s="5"/>
      <c r="B793" s="4"/>
      <c r="C793" s="14"/>
    </row>
    <row r="794">
      <c r="A794" s="5"/>
      <c r="B794" s="4"/>
      <c r="C794" s="14"/>
    </row>
    <row r="795">
      <c r="A795" s="5"/>
      <c r="B795" s="4"/>
      <c r="C795" s="14"/>
    </row>
    <row r="796">
      <c r="A796" s="5"/>
      <c r="B796" s="4"/>
      <c r="C796" s="14"/>
    </row>
    <row r="797">
      <c r="A797" s="5"/>
      <c r="B797" s="4"/>
      <c r="C797" s="14"/>
    </row>
    <row r="798">
      <c r="A798" s="5"/>
      <c r="B798" s="4"/>
      <c r="C798" s="14"/>
    </row>
    <row r="799">
      <c r="A799" s="5"/>
      <c r="B799" s="4"/>
      <c r="C799" s="14"/>
    </row>
    <row r="800">
      <c r="A800" s="5"/>
      <c r="B800" s="4"/>
      <c r="C800" s="14"/>
    </row>
    <row r="801">
      <c r="A801" s="5"/>
      <c r="B801" s="4"/>
      <c r="C801" s="14"/>
    </row>
    <row r="802">
      <c r="A802" s="5"/>
      <c r="B802" s="4"/>
      <c r="C802" s="14"/>
    </row>
    <row r="803">
      <c r="A803" s="5"/>
      <c r="B803" s="4"/>
      <c r="C803" s="14"/>
    </row>
    <row r="804">
      <c r="A804" s="5"/>
      <c r="B804" s="4"/>
      <c r="C804" s="14"/>
    </row>
    <row r="805">
      <c r="A805" s="5"/>
      <c r="B805" s="4"/>
      <c r="C805" s="14"/>
    </row>
    <row r="806">
      <c r="A806" s="5"/>
      <c r="B806" s="4"/>
      <c r="C806" s="14"/>
    </row>
    <row r="807">
      <c r="A807" s="5"/>
      <c r="B807" s="4"/>
      <c r="C807" s="14"/>
    </row>
    <row r="808">
      <c r="A808" s="5"/>
      <c r="B808" s="4"/>
      <c r="C808" s="14"/>
    </row>
    <row r="809">
      <c r="A809" s="5"/>
      <c r="B809" s="4"/>
      <c r="C809" s="14"/>
    </row>
    <row r="810">
      <c r="A810" s="5"/>
      <c r="B810" s="4"/>
      <c r="C810" s="14"/>
    </row>
    <row r="811">
      <c r="A811" s="5"/>
      <c r="B811" s="4"/>
      <c r="C811" s="14"/>
    </row>
    <row r="812">
      <c r="A812" s="5"/>
      <c r="B812" s="4"/>
      <c r="C812" s="14"/>
    </row>
    <row r="813">
      <c r="A813" s="5"/>
      <c r="B813" s="4"/>
      <c r="C813" s="14"/>
    </row>
    <row r="814">
      <c r="A814" s="5"/>
      <c r="B814" s="4"/>
      <c r="C814" s="14"/>
    </row>
    <row r="815">
      <c r="A815" s="5"/>
      <c r="B815" s="4"/>
      <c r="C815" s="14"/>
    </row>
    <row r="816">
      <c r="A816" s="5"/>
      <c r="B816" s="4"/>
      <c r="C816" s="14"/>
    </row>
    <row r="817">
      <c r="A817" s="5"/>
      <c r="B817" s="4"/>
      <c r="C817" s="14"/>
    </row>
    <row r="818">
      <c r="A818" s="5"/>
      <c r="B818" s="4"/>
      <c r="C818" s="14"/>
    </row>
    <row r="819">
      <c r="A819" s="5"/>
      <c r="B819" s="4"/>
      <c r="C819" s="14"/>
    </row>
    <row r="820">
      <c r="A820" s="5"/>
      <c r="B820" s="4"/>
      <c r="C820" s="14"/>
    </row>
    <row r="821">
      <c r="A821" s="5"/>
      <c r="B821" s="4"/>
      <c r="C821" s="14"/>
    </row>
    <row r="822">
      <c r="A822" s="5"/>
      <c r="B822" s="4"/>
      <c r="C822" s="14"/>
    </row>
    <row r="823">
      <c r="A823" s="5"/>
      <c r="B823" s="4"/>
      <c r="C823" s="14"/>
    </row>
    <row r="824">
      <c r="A824" s="5"/>
      <c r="B824" s="4"/>
      <c r="C824" s="14"/>
    </row>
    <row r="825">
      <c r="A825" s="5"/>
      <c r="B825" s="4"/>
      <c r="C825" s="14"/>
    </row>
    <row r="826">
      <c r="A826" s="5"/>
      <c r="B826" s="4"/>
      <c r="C826" s="14"/>
    </row>
    <row r="827">
      <c r="A827" s="5"/>
      <c r="B827" s="4"/>
      <c r="C827" s="14"/>
    </row>
    <row r="828">
      <c r="A828" s="5"/>
      <c r="B828" s="4"/>
      <c r="C828" s="14"/>
    </row>
    <row r="829">
      <c r="A829" s="5"/>
      <c r="B829" s="4"/>
      <c r="C829" s="14"/>
    </row>
    <row r="830">
      <c r="A830" s="5"/>
      <c r="B830" s="4"/>
      <c r="C830" s="14"/>
    </row>
    <row r="831">
      <c r="A831" s="5"/>
      <c r="B831" s="4"/>
      <c r="C831" s="14"/>
    </row>
    <row r="832">
      <c r="A832" s="5"/>
      <c r="B832" s="4"/>
      <c r="C832" s="14"/>
    </row>
    <row r="833">
      <c r="A833" s="5"/>
      <c r="B833" s="4"/>
      <c r="C833" s="14"/>
    </row>
    <row r="834">
      <c r="A834" s="5"/>
      <c r="B834" s="4"/>
      <c r="C834" s="14"/>
    </row>
    <row r="835">
      <c r="A835" s="5"/>
      <c r="B835" s="4"/>
      <c r="C835" s="14"/>
    </row>
    <row r="836">
      <c r="A836" s="5"/>
      <c r="B836" s="4"/>
      <c r="C836" s="14"/>
    </row>
    <row r="837">
      <c r="A837" s="5"/>
      <c r="B837" s="4"/>
      <c r="C837" s="14"/>
    </row>
    <row r="838">
      <c r="A838" s="5"/>
      <c r="B838" s="4"/>
      <c r="C838" s="14"/>
    </row>
    <row r="839">
      <c r="A839" s="5"/>
      <c r="B839" s="4"/>
      <c r="C839" s="14"/>
    </row>
    <row r="840">
      <c r="A840" s="5"/>
      <c r="B840" s="4"/>
      <c r="C840" s="14"/>
    </row>
    <row r="841">
      <c r="A841" s="5"/>
      <c r="B841" s="4"/>
      <c r="C841" s="14"/>
    </row>
    <row r="842">
      <c r="A842" s="5"/>
      <c r="B842" s="4"/>
      <c r="C842" s="14"/>
    </row>
    <row r="843">
      <c r="A843" s="5"/>
      <c r="B843" s="4"/>
      <c r="C843" s="14"/>
    </row>
    <row r="844">
      <c r="A844" s="5"/>
      <c r="B844" s="4"/>
      <c r="C844" s="14"/>
    </row>
    <row r="845">
      <c r="A845" s="5"/>
      <c r="B845" s="4"/>
      <c r="C845" s="14"/>
    </row>
    <row r="846">
      <c r="A846" s="5"/>
      <c r="B846" s="4"/>
      <c r="C846" s="14"/>
    </row>
    <row r="847">
      <c r="A847" s="5"/>
      <c r="B847" s="4"/>
      <c r="C847" s="14"/>
    </row>
    <row r="848">
      <c r="A848" s="5"/>
      <c r="B848" s="4"/>
      <c r="C848" s="14"/>
    </row>
    <row r="849">
      <c r="A849" s="5"/>
      <c r="B849" s="4"/>
      <c r="C849" s="14"/>
    </row>
    <row r="850">
      <c r="A850" s="5"/>
      <c r="B850" s="4"/>
      <c r="C850" s="14"/>
    </row>
    <row r="851">
      <c r="A851" s="5"/>
      <c r="B851" s="4"/>
      <c r="C851" s="14"/>
    </row>
    <row r="852">
      <c r="A852" s="5"/>
      <c r="B852" s="4"/>
      <c r="C852" s="14"/>
    </row>
    <row r="853">
      <c r="A853" s="5"/>
      <c r="B853" s="4"/>
      <c r="C853" s="14"/>
    </row>
    <row r="854">
      <c r="A854" s="5"/>
      <c r="B854" s="4"/>
      <c r="C854" s="14"/>
    </row>
    <row r="855">
      <c r="A855" s="5"/>
      <c r="B855" s="4"/>
      <c r="C855" s="14"/>
    </row>
    <row r="856">
      <c r="A856" s="5"/>
      <c r="B856" s="4"/>
      <c r="C856" s="14"/>
    </row>
    <row r="857">
      <c r="A857" s="5"/>
      <c r="B857" s="4"/>
      <c r="C857" s="14"/>
    </row>
    <row r="858">
      <c r="A858" s="5"/>
      <c r="B858" s="4"/>
      <c r="C858" s="14"/>
    </row>
    <row r="859">
      <c r="A859" s="5"/>
      <c r="B859" s="4"/>
      <c r="C859" s="14"/>
    </row>
    <row r="860">
      <c r="A860" s="5"/>
      <c r="B860" s="4"/>
      <c r="C860" s="14"/>
    </row>
    <row r="861">
      <c r="A861" s="5"/>
      <c r="B861" s="4"/>
      <c r="C861" s="14"/>
    </row>
    <row r="862">
      <c r="A862" s="5"/>
      <c r="B862" s="4"/>
      <c r="C862" s="14"/>
    </row>
    <row r="863">
      <c r="A863" s="5"/>
      <c r="B863" s="4"/>
      <c r="C863" s="14"/>
    </row>
    <row r="864">
      <c r="A864" s="5"/>
      <c r="B864" s="4"/>
      <c r="C864" s="14"/>
    </row>
    <row r="865">
      <c r="A865" s="5"/>
      <c r="B865" s="4"/>
      <c r="C865" s="14"/>
    </row>
    <row r="866">
      <c r="A866" s="5"/>
      <c r="B866" s="4"/>
      <c r="C866" s="14"/>
    </row>
    <row r="867">
      <c r="A867" s="5"/>
      <c r="B867" s="4"/>
      <c r="C867" s="14"/>
    </row>
    <row r="868">
      <c r="A868" s="5"/>
      <c r="B868" s="4"/>
      <c r="C868" s="14"/>
    </row>
    <row r="869">
      <c r="A869" s="5"/>
      <c r="B869" s="4"/>
      <c r="C869" s="14"/>
    </row>
    <row r="870">
      <c r="A870" s="5"/>
      <c r="B870" s="4"/>
      <c r="C870" s="14"/>
    </row>
    <row r="871">
      <c r="A871" s="5"/>
      <c r="B871" s="4"/>
      <c r="C871" s="14"/>
    </row>
    <row r="872">
      <c r="A872" s="5"/>
      <c r="B872" s="4"/>
      <c r="C872" s="14"/>
    </row>
    <row r="873">
      <c r="A873" s="5"/>
      <c r="B873" s="4"/>
      <c r="C873" s="14"/>
    </row>
    <row r="874">
      <c r="A874" s="5"/>
      <c r="B874" s="4"/>
      <c r="C874" s="14"/>
    </row>
    <row r="875">
      <c r="A875" s="5"/>
      <c r="B875" s="4"/>
      <c r="C875" s="14"/>
    </row>
    <row r="876">
      <c r="A876" s="5"/>
      <c r="B876" s="4"/>
      <c r="C876" s="14"/>
    </row>
    <row r="877">
      <c r="A877" s="5"/>
      <c r="B877" s="4"/>
      <c r="C877" s="14"/>
    </row>
    <row r="878">
      <c r="A878" s="5"/>
      <c r="B878" s="4"/>
      <c r="C878" s="14"/>
    </row>
    <row r="879">
      <c r="A879" s="5"/>
      <c r="B879" s="4"/>
      <c r="C879" s="14"/>
    </row>
    <row r="880">
      <c r="A880" s="5"/>
      <c r="B880" s="4"/>
      <c r="C880" s="14"/>
    </row>
    <row r="881">
      <c r="A881" s="5"/>
      <c r="B881" s="4"/>
      <c r="C881" s="14"/>
    </row>
    <row r="882">
      <c r="A882" s="5"/>
      <c r="B882" s="4"/>
      <c r="C882" s="14"/>
    </row>
    <row r="883">
      <c r="A883" s="5"/>
      <c r="B883" s="4"/>
      <c r="C883" s="14"/>
    </row>
    <row r="884">
      <c r="A884" s="5"/>
      <c r="B884" s="4"/>
      <c r="C884" s="14"/>
    </row>
    <row r="885">
      <c r="A885" s="5"/>
      <c r="B885" s="4"/>
      <c r="C885" s="14"/>
    </row>
    <row r="886">
      <c r="A886" s="5"/>
      <c r="B886" s="4"/>
      <c r="C886" s="14"/>
    </row>
    <row r="887">
      <c r="A887" s="5"/>
      <c r="B887" s="4"/>
      <c r="C887" s="14"/>
    </row>
    <row r="888">
      <c r="A888" s="5"/>
      <c r="B888" s="4"/>
      <c r="C888" s="14"/>
    </row>
    <row r="889">
      <c r="A889" s="5"/>
      <c r="B889" s="4"/>
      <c r="C889" s="14"/>
    </row>
    <row r="890">
      <c r="A890" s="5"/>
      <c r="B890" s="4"/>
      <c r="C890" s="14"/>
    </row>
    <row r="891">
      <c r="A891" s="5"/>
      <c r="B891" s="4"/>
      <c r="C891" s="14"/>
    </row>
    <row r="892">
      <c r="A892" s="5"/>
      <c r="B892" s="4"/>
      <c r="C892" s="14"/>
    </row>
    <row r="893">
      <c r="A893" s="5"/>
      <c r="B893" s="4"/>
      <c r="C893" s="14"/>
    </row>
    <row r="894">
      <c r="A894" s="5"/>
      <c r="B894" s="4"/>
      <c r="C894" s="14"/>
    </row>
    <row r="895">
      <c r="A895" s="5"/>
      <c r="B895" s="4"/>
      <c r="C895" s="14"/>
    </row>
    <row r="896">
      <c r="A896" s="5"/>
      <c r="B896" s="4"/>
      <c r="C896" s="14"/>
    </row>
    <row r="897">
      <c r="A897" s="5"/>
      <c r="B897" s="4"/>
      <c r="C897" s="14"/>
    </row>
    <row r="898">
      <c r="A898" s="5"/>
      <c r="B898" s="4"/>
      <c r="C898" s="14"/>
    </row>
    <row r="899">
      <c r="A899" s="5"/>
      <c r="B899" s="4"/>
      <c r="C899" s="14"/>
    </row>
    <row r="900">
      <c r="A900" s="5"/>
      <c r="B900" s="4"/>
      <c r="C900" s="14"/>
    </row>
    <row r="901">
      <c r="A901" s="5"/>
      <c r="B901" s="4"/>
      <c r="C901" s="14"/>
    </row>
    <row r="902">
      <c r="A902" s="5"/>
      <c r="B902" s="4"/>
      <c r="C902" s="14"/>
    </row>
    <row r="903">
      <c r="A903" s="5"/>
      <c r="B903" s="4"/>
      <c r="C903" s="14"/>
    </row>
    <row r="904">
      <c r="A904" s="5"/>
      <c r="B904" s="4"/>
      <c r="C904" s="14"/>
    </row>
    <row r="905">
      <c r="A905" s="5"/>
      <c r="B905" s="4"/>
      <c r="C905" s="14"/>
    </row>
    <row r="906">
      <c r="A906" s="5"/>
      <c r="B906" s="4"/>
      <c r="C906" s="14"/>
    </row>
    <row r="907">
      <c r="A907" s="5"/>
      <c r="B907" s="4"/>
      <c r="C907" s="14"/>
    </row>
    <row r="908">
      <c r="A908" s="5"/>
      <c r="B908" s="4"/>
      <c r="C908" s="14"/>
    </row>
    <row r="909">
      <c r="A909" s="5"/>
      <c r="B909" s="4"/>
      <c r="C909" s="14"/>
    </row>
    <row r="910">
      <c r="A910" s="5"/>
      <c r="B910" s="4"/>
      <c r="C910" s="14"/>
    </row>
    <row r="911">
      <c r="A911" s="5"/>
      <c r="B911" s="4"/>
      <c r="C911" s="14"/>
    </row>
    <row r="912">
      <c r="A912" s="5"/>
      <c r="B912" s="4"/>
      <c r="C912" s="14"/>
    </row>
    <row r="913">
      <c r="A913" s="5"/>
      <c r="B913" s="4"/>
      <c r="C913" s="14"/>
    </row>
    <row r="914">
      <c r="A914" s="5"/>
      <c r="B914" s="4"/>
      <c r="C914" s="14"/>
    </row>
    <row r="915">
      <c r="A915" s="5"/>
      <c r="B915" s="4"/>
      <c r="C915" s="14"/>
    </row>
    <row r="916">
      <c r="A916" s="5"/>
      <c r="B916" s="4"/>
      <c r="C916" s="14"/>
    </row>
    <row r="917">
      <c r="A917" s="5"/>
      <c r="B917" s="4"/>
      <c r="C917" s="14"/>
    </row>
    <row r="918">
      <c r="A918" s="5"/>
      <c r="B918" s="4"/>
      <c r="C918" s="14"/>
    </row>
    <row r="919">
      <c r="A919" s="5"/>
      <c r="B919" s="4"/>
      <c r="C919" s="14"/>
    </row>
    <row r="920">
      <c r="A920" s="5"/>
      <c r="B920" s="4"/>
      <c r="C920" s="14"/>
    </row>
    <row r="921">
      <c r="A921" s="5"/>
      <c r="B921" s="4"/>
      <c r="C921" s="14"/>
    </row>
    <row r="922">
      <c r="A922" s="5"/>
      <c r="B922" s="4"/>
      <c r="C922" s="14"/>
    </row>
    <row r="923">
      <c r="A923" s="5"/>
      <c r="B923" s="4"/>
      <c r="C923" s="14"/>
    </row>
    <row r="924">
      <c r="A924" s="5"/>
      <c r="B924" s="4"/>
      <c r="C924" s="14"/>
    </row>
    <row r="925">
      <c r="A925" s="5"/>
      <c r="B925" s="4"/>
      <c r="C925" s="14"/>
    </row>
    <row r="926">
      <c r="A926" s="5"/>
      <c r="B926" s="4"/>
      <c r="C926" s="14"/>
    </row>
    <row r="927">
      <c r="A927" s="5"/>
      <c r="B927" s="4"/>
      <c r="C927" s="14"/>
    </row>
    <row r="928">
      <c r="A928" s="5"/>
      <c r="B928" s="4"/>
      <c r="C928" s="14"/>
    </row>
    <row r="929">
      <c r="A929" s="5"/>
      <c r="B929" s="4"/>
      <c r="C929" s="14"/>
    </row>
    <row r="930">
      <c r="A930" s="5"/>
      <c r="B930" s="4"/>
      <c r="C930" s="14"/>
    </row>
    <row r="931">
      <c r="A931" s="5"/>
      <c r="B931" s="4"/>
      <c r="C931" s="14"/>
    </row>
    <row r="932">
      <c r="A932" s="5"/>
      <c r="B932" s="4"/>
      <c r="C932" s="14"/>
    </row>
    <row r="933">
      <c r="A933" s="5"/>
      <c r="B933" s="4"/>
      <c r="C933" s="14"/>
    </row>
    <row r="934">
      <c r="A934" s="5"/>
      <c r="B934" s="4"/>
      <c r="C934" s="14"/>
    </row>
    <row r="935">
      <c r="A935" s="5"/>
      <c r="B935" s="4"/>
      <c r="C935" s="14"/>
    </row>
    <row r="936">
      <c r="A936" s="5"/>
      <c r="B936" s="4"/>
      <c r="C936" s="14"/>
    </row>
    <row r="937">
      <c r="A937" s="5"/>
      <c r="B937" s="4"/>
      <c r="C937" s="14"/>
    </row>
    <row r="938">
      <c r="A938" s="5"/>
      <c r="B938" s="4"/>
      <c r="C938" s="14"/>
    </row>
    <row r="939">
      <c r="A939" s="5"/>
      <c r="B939" s="4"/>
      <c r="C939" s="14"/>
    </row>
    <row r="940">
      <c r="A940" s="5"/>
      <c r="B940" s="4"/>
      <c r="C940" s="14"/>
    </row>
    <row r="941">
      <c r="A941" s="5"/>
      <c r="B941" s="4"/>
      <c r="C941" s="14"/>
    </row>
    <row r="942">
      <c r="A942" s="5"/>
      <c r="B942" s="4"/>
      <c r="C942" s="14"/>
    </row>
    <row r="943">
      <c r="A943" s="5"/>
      <c r="B943" s="4"/>
      <c r="C943" s="14"/>
    </row>
    <row r="944">
      <c r="A944" s="5"/>
      <c r="B944" s="4"/>
      <c r="C944" s="14"/>
    </row>
    <row r="945">
      <c r="A945" s="5"/>
      <c r="B945" s="4"/>
      <c r="C945" s="14"/>
    </row>
    <row r="946">
      <c r="A946" s="5"/>
      <c r="B946" s="4"/>
      <c r="C946" s="14"/>
    </row>
    <row r="947">
      <c r="A947" s="5"/>
      <c r="B947" s="4"/>
      <c r="C947" s="14"/>
    </row>
    <row r="948">
      <c r="A948" s="5"/>
      <c r="B948" s="4"/>
      <c r="C948" s="14"/>
    </row>
    <row r="949">
      <c r="A949" s="5"/>
      <c r="B949" s="4"/>
      <c r="C949" s="14"/>
    </row>
    <row r="950">
      <c r="A950" s="5"/>
      <c r="B950" s="4"/>
      <c r="C950" s="14"/>
    </row>
    <row r="951">
      <c r="A951" s="5"/>
      <c r="B951" s="4"/>
      <c r="C951" s="14"/>
    </row>
    <row r="952">
      <c r="A952" s="5"/>
      <c r="B952" s="4"/>
      <c r="C952" s="14"/>
    </row>
    <row r="953">
      <c r="A953" s="5"/>
      <c r="B953" s="4"/>
      <c r="C953" s="14"/>
    </row>
    <row r="954">
      <c r="A954" s="5"/>
      <c r="B954" s="4"/>
      <c r="C954" s="14"/>
    </row>
    <row r="955">
      <c r="A955" s="5"/>
      <c r="B955" s="4"/>
      <c r="C955" s="14"/>
    </row>
    <row r="956">
      <c r="A956" s="5"/>
      <c r="B956" s="4"/>
      <c r="C956" s="14"/>
    </row>
    <row r="957">
      <c r="A957" s="5"/>
      <c r="B957" s="4"/>
      <c r="C957" s="14"/>
    </row>
    <row r="958">
      <c r="A958" s="5"/>
      <c r="B958" s="4"/>
      <c r="C958" s="14"/>
    </row>
    <row r="959">
      <c r="A959" s="5"/>
      <c r="B959" s="4"/>
      <c r="C959" s="14"/>
    </row>
    <row r="960">
      <c r="A960" s="5"/>
      <c r="B960" s="4"/>
      <c r="C960" s="14"/>
    </row>
    <row r="961">
      <c r="A961" s="5"/>
      <c r="B961" s="4"/>
      <c r="C961" s="14"/>
    </row>
    <row r="962">
      <c r="A962" s="5"/>
      <c r="B962" s="4"/>
      <c r="C962" s="14"/>
    </row>
    <row r="963">
      <c r="A963" s="5"/>
      <c r="B963" s="4"/>
      <c r="C963" s="14"/>
    </row>
    <row r="964">
      <c r="A964" s="5"/>
      <c r="B964" s="4"/>
      <c r="C964" s="14"/>
    </row>
    <row r="965">
      <c r="A965" s="5"/>
      <c r="B965" s="4"/>
      <c r="C965" s="14"/>
    </row>
    <row r="966">
      <c r="A966" s="5"/>
      <c r="B966" s="4"/>
      <c r="C966" s="14"/>
    </row>
    <row r="967">
      <c r="A967" s="5"/>
      <c r="B967" s="4"/>
      <c r="C967" s="14"/>
    </row>
    <row r="968">
      <c r="A968" s="5"/>
      <c r="B968" s="4"/>
      <c r="C968" s="14"/>
    </row>
    <row r="969">
      <c r="A969" s="5"/>
      <c r="B969" s="4"/>
      <c r="C969" s="14"/>
    </row>
    <row r="970">
      <c r="A970" s="5"/>
      <c r="B970" s="4"/>
      <c r="C970" s="14"/>
    </row>
    <row r="971">
      <c r="A971" s="5"/>
      <c r="B971" s="4"/>
      <c r="C971" s="14"/>
    </row>
    <row r="972">
      <c r="A972" s="5"/>
      <c r="B972" s="4"/>
      <c r="C972" s="14"/>
    </row>
    <row r="973">
      <c r="A973" s="5"/>
      <c r="B973" s="4"/>
      <c r="C973" s="14"/>
    </row>
    <row r="974">
      <c r="A974" s="5"/>
      <c r="B974" s="4"/>
      <c r="C974" s="14"/>
    </row>
    <row r="975">
      <c r="A975" s="5"/>
      <c r="B975" s="4"/>
      <c r="C975" s="14"/>
    </row>
    <row r="976">
      <c r="A976" s="5"/>
      <c r="B976" s="4"/>
      <c r="C976" s="14"/>
    </row>
    <row r="977">
      <c r="A977" s="5"/>
      <c r="B977" s="4"/>
      <c r="C977" s="14"/>
    </row>
    <row r="978">
      <c r="A978" s="5"/>
      <c r="B978" s="4"/>
      <c r="C978" s="14"/>
    </row>
    <row r="979">
      <c r="A979" s="5"/>
      <c r="B979" s="4"/>
      <c r="C979" s="14"/>
    </row>
    <row r="980">
      <c r="A980" s="5"/>
      <c r="B980" s="4"/>
      <c r="C980" s="14"/>
    </row>
    <row r="981">
      <c r="A981" s="5"/>
      <c r="B981" s="4"/>
      <c r="C981" s="14"/>
    </row>
    <row r="982">
      <c r="A982" s="5"/>
      <c r="B982" s="4"/>
      <c r="C982" s="14"/>
    </row>
    <row r="983">
      <c r="A983" s="5"/>
      <c r="B983" s="4"/>
      <c r="C983" s="14"/>
    </row>
    <row r="984">
      <c r="A984" s="5"/>
      <c r="B984" s="4"/>
      <c r="C984" s="14"/>
    </row>
    <row r="985">
      <c r="A985" s="5"/>
      <c r="B985" s="4"/>
      <c r="C985" s="14"/>
    </row>
    <row r="986">
      <c r="A986" s="5"/>
      <c r="B986" s="4"/>
      <c r="C986" s="14"/>
    </row>
    <row r="987">
      <c r="A987" s="5"/>
      <c r="B987" s="4"/>
      <c r="C987" s="14"/>
    </row>
    <row r="988">
      <c r="A988" s="5"/>
      <c r="B988" s="4"/>
      <c r="C988" s="14"/>
    </row>
    <row r="989">
      <c r="A989" s="5"/>
      <c r="B989" s="4"/>
      <c r="C989" s="14"/>
    </row>
    <row r="990">
      <c r="A990" s="5"/>
      <c r="B990" s="4"/>
      <c r="C990" s="14"/>
    </row>
    <row r="991">
      <c r="A991" s="5"/>
      <c r="B991" s="4"/>
      <c r="C991" s="14"/>
    </row>
    <row r="992">
      <c r="A992" s="5"/>
      <c r="B992" s="4"/>
      <c r="C992" s="14"/>
    </row>
    <row r="993">
      <c r="A993" s="5"/>
      <c r="B993" s="4"/>
      <c r="C993" s="14"/>
    </row>
    <row r="994">
      <c r="A994" s="5"/>
      <c r="B994" s="4"/>
      <c r="C994" s="14"/>
    </row>
    <row r="995">
      <c r="A995" s="5"/>
      <c r="B995" s="4"/>
      <c r="C995" s="14"/>
    </row>
    <row r="996">
      <c r="A996" s="5"/>
      <c r="B996" s="4"/>
      <c r="C996" s="14"/>
    </row>
    <row r="997">
      <c r="A997" s="5"/>
      <c r="B997" s="4"/>
      <c r="C997" s="14"/>
    </row>
    <row r="998">
      <c r="A998" s="5"/>
      <c r="B998" s="4"/>
      <c r="C998" s="14"/>
    </row>
    <row r="999">
      <c r="A999" s="5"/>
      <c r="B999" s="4"/>
      <c r="C999" s="14"/>
    </row>
    <row r="1000">
      <c r="A1000" s="5"/>
      <c r="B1000" s="4"/>
      <c r="C1000" s="14"/>
    </row>
    <row r="1001">
      <c r="A1001" s="5"/>
      <c r="B1001" s="4"/>
      <c r="C1001" s="14"/>
    </row>
    <row r="1002">
      <c r="A1002" s="5"/>
      <c r="B1002" s="4"/>
      <c r="C1002" s="14"/>
    </row>
    <row r="1003">
      <c r="A1003" s="5"/>
      <c r="B1003" s="4"/>
      <c r="C1003" s="14"/>
    </row>
    <row r="1004">
      <c r="A1004" s="5"/>
      <c r="B1004" s="4"/>
      <c r="C1004" s="14"/>
    </row>
    <row r="1005">
      <c r="A1005" s="5"/>
      <c r="B1005" s="4"/>
      <c r="C1005" s="14"/>
    </row>
    <row r="1006">
      <c r="A1006" s="5"/>
      <c r="B1006" s="4"/>
      <c r="C1006" s="14"/>
    </row>
    <row r="1007">
      <c r="A1007" s="5"/>
      <c r="B1007" s="4"/>
      <c r="C1007" s="14"/>
    </row>
    <row r="1008">
      <c r="A1008" s="5"/>
      <c r="B1008" s="4"/>
      <c r="C1008" s="14"/>
    </row>
    <row r="1009">
      <c r="A1009" s="5"/>
      <c r="B1009" s="4"/>
      <c r="C1009" s="14"/>
    </row>
    <row r="1010">
      <c r="A1010" s="5"/>
      <c r="B1010" s="4"/>
      <c r="C1010" s="14"/>
    </row>
    <row r="1011">
      <c r="A1011" s="5"/>
      <c r="B1011" s="4"/>
      <c r="C1011" s="14"/>
    </row>
    <row r="1012">
      <c r="A1012" s="5"/>
      <c r="B1012" s="4"/>
      <c r="C1012" s="14"/>
    </row>
    <row r="1013">
      <c r="A1013" s="5"/>
      <c r="B1013" s="4"/>
      <c r="C1013" s="14"/>
    </row>
    <row r="1014">
      <c r="A1014" s="5"/>
      <c r="B1014" s="4"/>
      <c r="C1014" s="14"/>
    </row>
    <row r="1015">
      <c r="A1015" s="5"/>
      <c r="B1015" s="4"/>
      <c r="C1015" s="14"/>
    </row>
    <row r="1016">
      <c r="A1016" s="5"/>
      <c r="B1016" s="4"/>
      <c r="C1016" s="14"/>
    </row>
    <row r="1017">
      <c r="A1017" s="5"/>
      <c r="B1017" s="4"/>
      <c r="C1017" s="14"/>
    </row>
    <row r="1018">
      <c r="A1018" s="5"/>
      <c r="B1018" s="4"/>
      <c r="C1018" s="14"/>
    </row>
    <row r="1019">
      <c r="A1019" s="5"/>
      <c r="B1019" s="4"/>
      <c r="C1019" s="14"/>
    </row>
    <row r="1020">
      <c r="A1020" s="5"/>
      <c r="B1020" s="4"/>
      <c r="C1020" s="14"/>
    </row>
    <row r="1021">
      <c r="A1021" s="5"/>
      <c r="B1021" s="4"/>
      <c r="C1021" s="14"/>
    </row>
    <row r="1022">
      <c r="A1022" s="5"/>
      <c r="B1022" s="4"/>
      <c r="C1022" s="14"/>
    </row>
    <row r="1023">
      <c r="A1023" s="5"/>
      <c r="B1023" s="4"/>
      <c r="C1023" s="14"/>
    </row>
    <row r="1024">
      <c r="A1024" s="5"/>
      <c r="B1024" s="4"/>
      <c r="C1024" s="14"/>
    </row>
    <row r="1025">
      <c r="A1025" s="5"/>
      <c r="B1025" s="4"/>
      <c r="C1025" s="14"/>
    </row>
    <row r="1026">
      <c r="A1026" s="5"/>
      <c r="B1026" s="4"/>
      <c r="C1026" s="14"/>
    </row>
    <row r="1027">
      <c r="A1027" s="5"/>
      <c r="B1027" s="4"/>
      <c r="C1027" s="14"/>
    </row>
    <row r="1028">
      <c r="A1028" s="5"/>
      <c r="B1028" s="4"/>
      <c r="C1028" s="14"/>
    </row>
    <row r="1029">
      <c r="A1029" s="5"/>
      <c r="B1029" s="4"/>
      <c r="C1029" s="14"/>
    </row>
    <row r="1030">
      <c r="A1030" s="5"/>
      <c r="B1030" s="4"/>
      <c r="C1030" s="14"/>
    </row>
    <row r="1031">
      <c r="A1031" s="5"/>
      <c r="B1031" s="4"/>
      <c r="C1031" s="14"/>
    </row>
    <row r="1032">
      <c r="A1032" s="5"/>
      <c r="B1032" s="4"/>
      <c r="C1032" s="14"/>
    </row>
    <row r="1033">
      <c r="A1033" s="5"/>
      <c r="B1033" s="4"/>
      <c r="C1033" s="14"/>
    </row>
    <row r="1034">
      <c r="A1034" s="5"/>
      <c r="B1034" s="4"/>
      <c r="C1034" s="14"/>
    </row>
    <row r="1035">
      <c r="A1035" s="5"/>
      <c r="B1035" s="4"/>
      <c r="C1035" s="14"/>
    </row>
    <row r="1036">
      <c r="A1036" s="5"/>
      <c r="B1036" s="4"/>
      <c r="C1036" s="14"/>
    </row>
    <row r="1037">
      <c r="A1037" s="5"/>
      <c r="B1037" s="4"/>
      <c r="C1037" s="14"/>
    </row>
    <row r="1038">
      <c r="A1038" s="5"/>
      <c r="B1038" s="4"/>
      <c r="C1038" s="14"/>
    </row>
    <row r="1039">
      <c r="A1039" s="5"/>
      <c r="B1039" s="4"/>
      <c r="C1039" s="14"/>
    </row>
    <row r="1040">
      <c r="A1040" s="5"/>
      <c r="B1040" s="4"/>
      <c r="C1040" s="14"/>
    </row>
    <row r="1041">
      <c r="A1041" s="5"/>
      <c r="B1041" s="4"/>
      <c r="C1041" s="14"/>
    </row>
    <row r="1042">
      <c r="A1042" s="5"/>
      <c r="B1042" s="4"/>
      <c r="C1042" s="14"/>
    </row>
    <row r="1043">
      <c r="A1043" s="5"/>
      <c r="B1043" s="4"/>
      <c r="C1043" s="14"/>
    </row>
    <row r="1044">
      <c r="A1044" s="5"/>
      <c r="B1044" s="4"/>
      <c r="C1044" s="14"/>
    </row>
    <row r="1045">
      <c r="A1045" s="5"/>
      <c r="B1045" s="4"/>
      <c r="C1045" s="14"/>
    </row>
    <row r="1046">
      <c r="A1046" s="5"/>
      <c r="B1046" s="4"/>
      <c r="C1046" s="14"/>
    </row>
    <row r="1047">
      <c r="A1047" s="5"/>
      <c r="B1047" s="4"/>
      <c r="C1047" s="14"/>
    </row>
    <row r="1048">
      <c r="A1048" s="5"/>
      <c r="B1048" s="4"/>
      <c r="C1048" s="14"/>
    </row>
    <row r="1049">
      <c r="A1049" s="5"/>
      <c r="B1049" s="4"/>
      <c r="C1049" s="14"/>
    </row>
    <row r="1050">
      <c r="A1050" s="5"/>
      <c r="B1050" s="4"/>
      <c r="C1050" s="14"/>
    </row>
    <row r="1051">
      <c r="A1051" s="5"/>
      <c r="B1051" s="4"/>
      <c r="C1051" s="14"/>
    </row>
    <row r="1052">
      <c r="A1052" s="5"/>
      <c r="B1052" s="4"/>
      <c r="C1052" s="14"/>
    </row>
    <row r="1053">
      <c r="A1053" s="5"/>
      <c r="B1053" s="4"/>
      <c r="C1053" s="14"/>
    </row>
    <row r="1054">
      <c r="A1054" s="5"/>
      <c r="B1054" s="4"/>
      <c r="C1054" s="14"/>
    </row>
    <row r="1055">
      <c r="A1055" s="5"/>
      <c r="B1055" s="4"/>
      <c r="C1055" s="14"/>
    </row>
    <row r="1056">
      <c r="A1056" s="5"/>
      <c r="B1056" s="4"/>
      <c r="C1056" s="14"/>
    </row>
    <row r="1057">
      <c r="A1057" s="5"/>
      <c r="B1057" s="4"/>
      <c r="C1057" s="14"/>
    </row>
    <row r="1058">
      <c r="A1058" s="5"/>
      <c r="B1058" s="4"/>
      <c r="C1058" s="14"/>
    </row>
    <row r="1059">
      <c r="A1059" s="5"/>
      <c r="B1059" s="4"/>
      <c r="C1059" s="14"/>
    </row>
    <row r="1060">
      <c r="A1060" s="5"/>
      <c r="B1060" s="4"/>
      <c r="C1060" s="14"/>
    </row>
    <row r="1061">
      <c r="A1061" s="5"/>
      <c r="B1061" s="4"/>
      <c r="C1061" s="14"/>
    </row>
    <row r="1062">
      <c r="A1062" s="5"/>
      <c r="B1062" s="4"/>
      <c r="C1062" s="14"/>
    </row>
    <row r="1063">
      <c r="A1063" s="5"/>
      <c r="B1063" s="4"/>
      <c r="C1063" s="14"/>
    </row>
    <row r="1064">
      <c r="A1064" s="5"/>
      <c r="B1064" s="4"/>
      <c r="C1064" s="14"/>
    </row>
    <row r="1065">
      <c r="A1065" s="5"/>
      <c r="B1065" s="4"/>
      <c r="C1065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6" t="s">
        <v>373</v>
      </c>
      <c r="C1" s="17" t="s">
        <v>374</v>
      </c>
      <c r="D1" s="18" t="s">
        <v>1</v>
      </c>
      <c r="E1" s="19" t="s">
        <v>375</v>
      </c>
    </row>
    <row r="2">
      <c r="A2" s="34" t="str">
        <f>IFERROR(__xludf.DUMMYFUNCTION("QUERY(IMPORTRANGE(""https://docs.google.com/spreadsheets/d/1uL7u7wi-N6XMNaiiEn8EgL1KwO9D93ItEOaOTxWgeIE/edit?gid=0#gid=0"", ""Report!A2:Z""), ""SELECT Col1, Col10,Col15,Col16,Col17"")"),"LABEL NIIMBOT D11 UKURAN 12 X 22 MM ")</f>
        <v>LABEL NIIMBOT D11 UKURAN 12 X 22 MM </v>
      </c>
      <c r="B2" s="34">
        <f>IFERROR(__xludf.DUMMYFUNCTION("""COMPUTED_VALUE"""),24.0)</f>
        <v>24</v>
      </c>
      <c r="C2" s="34" t="str">
        <f>IFERROR(__xludf.DUMMYFUNCTION("""COMPUTED_VALUE"""),"G2 ATAS")</f>
        <v>G2 ATAS</v>
      </c>
      <c r="D2" s="34" t="str">
        <f>IFERROR(__xludf.DUMMYFUNCTION("""COMPUTED_VALUE"""),"A0001")</f>
        <v>A0001</v>
      </c>
      <c r="E2" s="35">
        <f>IFERROR(__xludf.DUMMYFUNCTION("""COMPUTED_VALUE"""),98901.0)</f>
        <v>98901</v>
      </c>
    </row>
    <row r="3">
      <c r="A3" s="34" t="str">
        <f>IFERROR(__xludf.DUMMYFUNCTION("""COMPUTED_VALUE"""),"PLASTIK KLIP UKURAN 25X16 ISI 100PCS")</f>
        <v>PLASTIK KLIP UKURAN 25X16 ISI 100PCS</v>
      </c>
      <c r="B3" s="34">
        <f>IFERROR(__xludf.DUMMYFUNCTION("""COMPUTED_VALUE"""),2.0)</f>
        <v>2</v>
      </c>
      <c r="C3" s="34" t="str">
        <f>IFERROR(__xludf.DUMMYFUNCTION("""COMPUTED_VALUE"""),"G2 ATAS")</f>
        <v>G2 ATAS</v>
      </c>
      <c r="D3" s="34" t="str">
        <f>IFERROR(__xludf.DUMMYFUNCTION("""COMPUTED_VALUE"""),"A0002")</f>
        <v>A0002</v>
      </c>
      <c r="E3" s="35">
        <f>IFERROR(__xludf.DUMMYFUNCTION("""COMPUTED_VALUE"""),44289.0)</f>
        <v>44289</v>
      </c>
    </row>
    <row r="4">
      <c r="A4" s="34" t="str">
        <f>IFERROR(__xludf.DUMMYFUNCTION("""COMPUTED_VALUE"""),"LABEL TOM &amp; JERRY BULAT NO. 113 WARNA BIRU (PACK)")</f>
        <v>LABEL TOM &amp; JERRY BULAT NO. 113 WARNA BIRU (PACK)</v>
      </c>
      <c r="B4" s="34">
        <f>IFERROR(__xludf.DUMMYFUNCTION("""COMPUTED_VALUE"""),1.0)</f>
        <v>1</v>
      </c>
      <c r="C4" s="34" t="str">
        <f>IFERROR(__xludf.DUMMYFUNCTION("""COMPUTED_VALUE"""),"G2 ATAS")</f>
        <v>G2 ATAS</v>
      </c>
      <c r="D4" s="34" t="str">
        <f>IFERROR(__xludf.DUMMYFUNCTION("""COMPUTED_VALUE"""),"A0003")</f>
        <v>A0003</v>
      </c>
      <c r="E4" s="35">
        <f>IFERROR(__xludf.DUMMYFUNCTION("""COMPUTED_VALUE"""),8325.0)</f>
        <v>8325</v>
      </c>
    </row>
    <row r="5">
      <c r="A5" s="34" t="str">
        <f>IFERROR(__xludf.DUMMYFUNCTION("""COMPUTED_VALUE"""),"LABEL TOM &amp; JERRY BULAT NO. 113 WARNA MERAH (PACK)")</f>
        <v>LABEL TOM &amp; JERRY BULAT NO. 113 WARNA MERAH (PACK)</v>
      </c>
      <c r="B5" s="34">
        <f>IFERROR(__xludf.DUMMYFUNCTION("""COMPUTED_VALUE"""),1.0)</f>
        <v>1</v>
      </c>
      <c r="C5" s="34" t="str">
        <f>IFERROR(__xludf.DUMMYFUNCTION("""COMPUTED_VALUE"""),"G2 ATAS")</f>
        <v>G2 ATAS</v>
      </c>
      <c r="D5" s="34" t="str">
        <f>IFERROR(__xludf.DUMMYFUNCTION("""COMPUTED_VALUE"""),"A0004")</f>
        <v>A0004</v>
      </c>
      <c r="E5" s="35">
        <f>IFERROR(__xludf.DUMMYFUNCTION("""COMPUTED_VALUE"""),8325.0)</f>
        <v>8325</v>
      </c>
    </row>
    <row r="6">
      <c r="A6" s="34" t="str">
        <f>IFERROR(__xludf.DUMMYFUNCTION("""COMPUTED_VALUE"""),"LABEL TOM &amp; JERRY BULAT NO. 113 WARNA ORANGE (PACK)")</f>
        <v>LABEL TOM &amp; JERRY BULAT NO. 113 WARNA ORANGE (PACK)</v>
      </c>
      <c r="B6" s="34">
        <f>IFERROR(__xludf.DUMMYFUNCTION("""COMPUTED_VALUE"""),1.0)</f>
        <v>1</v>
      </c>
      <c r="C6" s="34" t="str">
        <f>IFERROR(__xludf.DUMMYFUNCTION("""COMPUTED_VALUE"""),"G2 ATAS")</f>
        <v>G2 ATAS</v>
      </c>
      <c r="D6" s="34" t="str">
        <f>IFERROR(__xludf.DUMMYFUNCTION("""COMPUTED_VALUE"""),"A0005")</f>
        <v>A0005</v>
      </c>
      <c r="E6" s="35">
        <f>IFERROR(__xludf.DUMMYFUNCTION("""COMPUTED_VALUE"""),8325.0)</f>
        <v>8325</v>
      </c>
    </row>
    <row r="7">
      <c r="A7" s="34" t="str">
        <f>IFERROR(__xludf.DUMMYFUNCTION("""COMPUTED_VALUE"""),"LABEL TOM &amp; JERRY BULAT NO. 113 WARNA HIJAU (PACK)")</f>
        <v>LABEL TOM &amp; JERRY BULAT NO. 113 WARNA HIJAU (PACK)</v>
      </c>
      <c r="B7" s="34">
        <f>IFERROR(__xludf.DUMMYFUNCTION("""COMPUTED_VALUE"""),1.0)</f>
        <v>1</v>
      </c>
      <c r="C7" s="34" t="str">
        <f>IFERROR(__xludf.DUMMYFUNCTION("""COMPUTED_VALUE"""),"G2 ATAS")</f>
        <v>G2 ATAS</v>
      </c>
      <c r="D7" s="34" t="str">
        <f>IFERROR(__xludf.DUMMYFUNCTION("""COMPUTED_VALUE"""),"A0006")</f>
        <v>A0006</v>
      </c>
      <c r="E7" s="35">
        <f>IFERROR(__xludf.DUMMYFUNCTION("""COMPUTED_VALUE"""),8325.0)</f>
        <v>8325</v>
      </c>
    </row>
    <row r="8">
      <c r="A8" s="34" t="str">
        <f>IFERROR(__xludf.DUMMYFUNCTION("""COMPUTED_VALUE"""),"LABEL TOM &amp; JERRY BULAT NO. 113 WARNA KUNING (PACK)")</f>
        <v>LABEL TOM &amp; JERRY BULAT NO. 113 WARNA KUNING (PACK)</v>
      </c>
      <c r="B8" s="34">
        <f>IFERROR(__xludf.DUMMYFUNCTION("""COMPUTED_VALUE"""),1.0)</f>
        <v>1</v>
      </c>
      <c r="C8" s="34" t="str">
        <f>IFERROR(__xludf.DUMMYFUNCTION("""COMPUTED_VALUE"""),"G2 ATAS")</f>
        <v>G2 ATAS</v>
      </c>
      <c r="D8" s="34" t="str">
        <f>IFERROR(__xludf.DUMMYFUNCTION("""COMPUTED_VALUE"""),"A0007")</f>
        <v>A0007</v>
      </c>
      <c r="E8" s="35">
        <f>IFERROR(__xludf.DUMMYFUNCTION("""COMPUTED_VALUE"""),8325.0)</f>
        <v>8325</v>
      </c>
    </row>
    <row r="9">
      <c r="A9" s="34" t="str">
        <f>IFERROR(__xludf.DUMMYFUNCTION("""COMPUTED_VALUE"""),"LABEL TOM &amp; JERRY BULAT NO. 113 WARNA PUTIH (PACK)")</f>
        <v>LABEL TOM &amp; JERRY BULAT NO. 113 WARNA PUTIH (PACK)</v>
      </c>
      <c r="B9" s="34">
        <f>IFERROR(__xludf.DUMMYFUNCTION("""COMPUTED_VALUE"""),1.0)</f>
        <v>1</v>
      </c>
      <c r="C9" s="34" t="str">
        <f>IFERROR(__xludf.DUMMYFUNCTION("""COMPUTED_VALUE"""),"G2 ATAS")</f>
        <v>G2 ATAS</v>
      </c>
      <c r="D9" s="34" t="str">
        <f>IFERROR(__xludf.DUMMYFUNCTION("""COMPUTED_VALUE"""),"A0008")</f>
        <v>A0008</v>
      </c>
      <c r="E9" s="35">
        <f>IFERROR(__xludf.DUMMYFUNCTION("""COMPUTED_VALUE"""),8325.0)</f>
        <v>8325</v>
      </c>
    </row>
    <row r="10">
      <c r="A10" s="34" t="str">
        <f>IFERROR(__xludf.DUMMYFUNCTION("""COMPUTED_VALUE"""),"LABEL TOM &amp; JERRY BULAT NO. 113 WARNA PINK (PACK)")</f>
        <v>LABEL TOM &amp; JERRY BULAT NO. 113 WARNA PINK (PACK)</v>
      </c>
      <c r="B10" s="34">
        <f>IFERROR(__xludf.DUMMYFUNCTION("""COMPUTED_VALUE"""),1.0)</f>
        <v>1</v>
      </c>
      <c r="C10" s="34" t="str">
        <f>IFERROR(__xludf.DUMMYFUNCTION("""COMPUTED_VALUE"""),"G2 ATAS")</f>
        <v>G2 ATAS</v>
      </c>
      <c r="D10" s="34" t="str">
        <f>IFERROR(__xludf.DUMMYFUNCTION("""COMPUTED_VALUE"""),"A0009")</f>
        <v>A0009</v>
      </c>
      <c r="E10" s="35">
        <f>IFERROR(__xludf.DUMMYFUNCTION("""COMPUTED_VALUE"""),8325.0)</f>
        <v>8325</v>
      </c>
    </row>
    <row r="11">
      <c r="A11" s="34" t="str">
        <f>IFERROR(__xludf.DUMMYFUNCTION("""COMPUTED_VALUE"""),"LABEL TOM N JERRY NO.121")</f>
        <v>LABEL TOM N JERRY NO.121</v>
      </c>
      <c r="B11" s="34">
        <f>IFERROR(__xludf.DUMMYFUNCTION("""COMPUTED_VALUE"""),2.0)</f>
        <v>2</v>
      </c>
      <c r="C11" s="34" t="str">
        <f>IFERROR(__xludf.DUMMYFUNCTION("""COMPUTED_VALUE"""),"G2 ATAS")</f>
        <v>G2 ATAS</v>
      </c>
      <c r="D11" s="34" t="str">
        <f>IFERROR(__xludf.DUMMYFUNCTION("""COMPUTED_VALUE"""),"A0010")</f>
        <v>A0010</v>
      </c>
      <c r="E11" s="35">
        <f>IFERROR(__xludf.DUMMYFUNCTION("""COMPUTED_VALUE"""),8325.0)</f>
        <v>8325</v>
      </c>
    </row>
    <row r="12">
      <c r="A12" s="34" t="str">
        <f>IFERROR(__xludf.DUMMYFUNCTION("""COMPUTED_VALUE"""),"LABEL TOM N JERRY NO.103")</f>
        <v>LABEL TOM N JERRY NO.103</v>
      </c>
      <c r="B12" s="34">
        <f>IFERROR(__xludf.DUMMYFUNCTION("""COMPUTED_VALUE"""),2.0)</f>
        <v>2</v>
      </c>
      <c r="C12" s="34" t="str">
        <f>IFERROR(__xludf.DUMMYFUNCTION("""COMPUTED_VALUE"""),"G2 ATAS")</f>
        <v>G2 ATAS</v>
      </c>
      <c r="D12" s="34" t="str">
        <f>IFERROR(__xludf.DUMMYFUNCTION("""COMPUTED_VALUE"""),"A0011")</f>
        <v>A0011</v>
      </c>
      <c r="E12" s="35">
        <f>IFERROR(__xludf.DUMMYFUNCTION("""COMPUTED_VALUE"""),8325.0)</f>
        <v>8325</v>
      </c>
    </row>
    <row r="13">
      <c r="A13" s="34" t="str">
        <f>IFERROR(__xludf.DUMMYFUNCTION("""COMPUTED_VALUE"""),"KERTAS HVS A4")</f>
        <v>KERTAS HVS A4</v>
      </c>
      <c r="B13" s="34">
        <f>IFERROR(__xludf.DUMMYFUNCTION("""COMPUTED_VALUE"""),100.0)</f>
        <v>100</v>
      </c>
      <c r="C13" s="34" t="str">
        <f>IFERROR(__xludf.DUMMYFUNCTION("""COMPUTED_VALUE"""),"G2 ATAS")</f>
        <v>G2 ATAS</v>
      </c>
      <c r="D13" s="34" t="str">
        <f>IFERROR(__xludf.DUMMYFUNCTION("""COMPUTED_VALUE"""),"A0012")</f>
        <v>A0012</v>
      </c>
      <c r="E13" s="35">
        <f>IFERROR(__xludf.DUMMYFUNCTION("""COMPUTED_VALUE"""),210345.0)</f>
        <v>210345</v>
      </c>
    </row>
    <row r="14">
      <c r="A14" s="34" t="str">
        <f>IFERROR(__xludf.DUMMYFUNCTION("""COMPUTED_VALUE"""),"PULPEN HITAM")</f>
        <v>PULPEN HITAM</v>
      </c>
      <c r="B14" s="34">
        <f>IFERROR(__xludf.DUMMYFUNCTION("""COMPUTED_VALUE"""),48.0)</f>
        <v>48</v>
      </c>
      <c r="C14" s="34" t="str">
        <f>IFERROR(__xludf.DUMMYFUNCTION("""COMPUTED_VALUE"""),"G2 ATAS")</f>
        <v>G2 ATAS</v>
      </c>
      <c r="D14" s="34" t="str">
        <f>IFERROR(__xludf.DUMMYFUNCTION("""COMPUTED_VALUE"""),"A0013")</f>
        <v>A0013</v>
      </c>
      <c r="E14" s="35">
        <f>IFERROR(__xludf.DUMMYFUNCTION("""COMPUTED_VALUE"""),2035.0)</f>
        <v>2035</v>
      </c>
    </row>
    <row r="15">
      <c r="A15" s="34" t="str">
        <f>IFERROR(__xludf.DUMMYFUNCTION("""COMPUTED_VALUE"""),"PULPEN MERAH")</f>
        <v>PULPEN MERAH</v>
      </c>
      <c r="B15" s="34">
        <f>IFERROR(__xludf.DUMMYFUNCTION("""COMPUTED_VALUE"""),48.0)</f>
        <v>48</v>
      </c>
      <c r="C15" s="34" t="str">
        <f>IFERROR(__xludf.DUMMYFUNCTION("""COMPUTED_VALUE"""),"G2 ATAS")</f>
        <v>G2 ATAS</v>
      </c>
      <c r="D15" s="34" t="str">
        <f>IFERROR(__xludf.DUMMYFUNCTION("""COMPUTED_VALUE"""),"A0014")</f>
        <v>A0014</v>
      </c>
      <c r="E15" s="35">
        <f>IFERROR(__xludf.DUMMYFUNCTION("""COMPUTED_VALUE"""),931.5)</f>
        <v>931.5</v>
      </c>
    </row>
    <row r="16">
      <c r="A16" s="34" t="str">
        <f>IFERROR(__xludf.DUMMYFUNCTION("""COMPUTED_VALUE"""),"TIPE - X")</f>
        <v>TIPE - X</v>
      </c>
      <c r="B16" s="34">
        <f>IFERROR(__xludf.DUMMYFUNCTION("""COMPUTED_VALUE"""),10.0)</f>
        <v>10</v>
      </c>
      <c r="C16" s="34" t="str">
        <f>IFERROR(__xludf.DUMMYFUNCTION("""COMPUTED_VALUE"""),"G2 ATAS")</f>
        <v>G2 ATAS</v>
      </c>
      <c r="D16" s="34" t="str">
        <f>IFERROR(__xludf.DUMMYFUNCTION("""COMPUTED_VALUE"""),"A0015")</f>
        <v>A0015</v>
      </c>
      <c r="E16" s="35">
        <f>IFERROR(__xludf.DUMMYFUNCTION("""COMPUTED_VALUE"""),4000.0)</f>
        <v>4000</v>
      </c>
    </row>
    <row r="17">
      <c r="A17" s="34" t="str">
        <f>IFERROR(__xludf.DUMMYFUNCTION("""COMPUTED_VALUE"""),"STABILO")</f>
        <v>STABILO</v>
      </c>
      <c r="B17" s="34">
        <f>IFERROR(__xludf.DUMMYFUNCTION("""COMPUTED_VALUE"""),5.0)</f>
        <v>5</v>
      </c>
      <c r="C17" s="34" t="str">
        <f>IFERROR(__xludf.DUMMYFUNCTION("""COMPUTED_VALUE"""),"G2 ATAS")</f>
        <v>G2 ATAS</v>
      </c>
      <c r="D17" s="34" t="str">
        <f>IFERROR(__xludf.DUMMYFUNCTION("""COMPUTED_VALUE"""),"A0016")</f>
        <v>A0016</v>
      </c>
      <c r="E17" s="35">
        <f>IFERROR(__xludf.DUMMYFUNCTION("""COMPUTED_VALUE"""),6000.0)</f>
        <v>6000</v>
      </c>
    </row>
    <row r="18">
      <c r="A18" s="34" t="str">
        <f>IFERROR(__xludf.DUMMYFUNCTION("""COMPUTED_VALUE"""),"PENGGARIS")</f>
        <v>PENGGARIS</v>
      </c>
      <c r="B18" s="34">
        <f>IFERROR(__xludf.DUMMYFUNCTION("""COMPUTED_VALUE"""),5.0)</f>
        <v>5</v>
      </c>
      <c r="C18" s="34" t="str">
        <f>IFERROR(__xludf.DUMMYFUNCTION("""COMPUTED_VALUE"""),"G2 ATAS")</f>
        <v>G2 ATAS</v>
      </c>
      <c r="D18" s="34" t="str">
        <f>IFERROR(__xludf.DUMMYFUNCTION("""COMPUTED_VALUE"""),"A0017")</f>
        <v>A0017</v>
      </c>
      <c r="E18" s="35">
        <f>IFERROR(__xludf.DUMMYFUNCTION("""COMPUTED_VALUE"""),7770.0)</f>
        <v>7770</v>
      </c>
    </row>
    <row r="19">
      <c r="A19" s="34" t="str">
        <f>IFERROR(__xludf.DUMMYFUNCTION("""COMPUTED_VALUE"""),"GUNTING")</f>
        <v>GUNTING</v>
      </c>
      <c r="B19" s="34">
        <f>IFERROR(__xludf.DUMMYFUNCTION("""COMPUTED_VALUE"""),5.0)</f>
        <v>5</v>
      </c>
      <c r="C19" s="34" t="str">
        <f>IFERROR(__xludf.DUMMYFUNCTION("""COMPUTED_VALUE"""),"G2 ATAS")</f>
        <v>G2 ATAS</v>
      </c>
      <c r="D19" s="34" t="str">
        <f>IFERROR(__xludf.DUMMYFUNCTION("""COMPUTED_VALUE"""),"A0018")</f>
        <v>A0018</v>
      </c>
      <c r="E19" s="35">
        <f>IFERROR(__xludf.DUMMYFUNCTION("""COMPUTED_VALUE"""),25530.0)</f>
        <v>25530</v>
      </c>
    </row>
    <row r="20">
      <c r="A20" s="34" t="str">
        <f>IFERROR(__xludf.DUMMYFUNCTION("""COMPUTED_VALUE"""),"AMPLOP PUTIH")</f>
        <v>AMPLOP PUTIH</v>
      </c>
      <c r="B20" s="34">
        <f>IFERROR(__xludf.DUMMYFUNCTION("""COMPUTED_VALUE"""),5.0)</f>
        <v>5</v>
      </c>
      <c r="C20" s="34" t="str">
        <f>IFERROR(__xludf.DUMMYFUNCTION("""COMPUTED_VALUE"""),"G2 ATAS")</f>
        <v>G2 ATAS</v>
      </c>
      <c r="D20" s="34" t="str">
        <f>IFERROR(__xludf.DUMMYFUNCTION("""COMPUTED_VALUE"""),"A0019")</f>
        <v>A0019</v>
      </c>
      <c r="E20" s="35">
        <f>IFERROR(__xludf.DUMMYFUNCTION("""COMPUTED_VALUE"""),190.0)</f>
        <v>190</v>
      </c>
    </row>
    <row r="21">
      <c r="A21" s="34" t="str">
        <f>IFERROR(__xludf.DUMMYFUNCTION("""COMPUTED_VALUE"""),"AMPLOP COKLAT SEAL")</f>
        <v>AMPLOP COKLAT SEAL</v>
      </c>
      <c r="B21" s="34">
        <f>IFERROR(__xludf.DUMMYFUNCTION("""COMPUTED_VALUE"""),2.0)</f>
        <v>2</v>
      </c>
      <c r="C21" s="34" t="str">
        <f>IFERROR(__xludf.DUMMYFUNCTION("""COMPUTED_VALUE"""),"G2 ATAS")</f>
        <v>G2 ATAS</v>
      </c>
      <c r="D21" s="34" t="str">
        <f>IFERROR(__xludf.DUMMYFUNCTION("""COMPUTED_VALUE"""),"A0020")</f>
        <v>A0020</v>
      </c>
      <c r="E21" s="35">
        <f>IFERROR(__xludf.DUMMYFUNCTION("""COMPUTED_VALUE"""),560.0)</f>
        <v>560</v>
      </c>
    </row>
    <row r="22">
      <c r="A22" s="34" t="str">
        <f>IFERROR(__xludf.DUMMYFUNCTION("""COMPUTED_VALUE"""),"AMPLOP COKLAT")</f>
        <v>AMPLOP COKLAT</v>
      </c>
      <c r="B22" s="34">
        <f>IFERROR(__xludf.DUMMYFUNCTION("""COMPUTED_VALUE"""),2.0)</f>
        <v>2</v>
      </c>
      <c r="C22" s="34" t="str">
        <f>IFERROR(__xludf.DUMMYFUNCTION("""COMPUTED_VALUE"""),"G2 ATAS")</f>
        <v>G2 ATAS</v>
      </c>
      <c r="D22" s="34" t="str">
        <f>IFERROR(__xludf.DUMMYFUNCTION("""COMPUTED_VALUE"""),"A0021")</f>
        <v>A0021</v>
      </c>
      <c r="E22" s="35">
        <f>IFERROR(__xludf.DUMMYFUNCTION("""COMPUTED_VALUE"""),325.0)</f>
        <v>325</v>
      </c>
    </row>
    <row r="23">
      <c r="A23" s="34" t="str">
        <f>IFERROR(__xludf.DUMMYFUNCTION("""COMPUTED_VALUE"""),"AMPLOP TALI")</f>
        <v>AMPLOP TALI</v>
      </c>
      <c r="B23" s="34">
        <f>IFERROR(__xludf.DUMMYFUNCTION("""COMPUTED_VALUE"""),2.0)</f>
        <v>2</v>
      </c>
      <c r="C23" s="34" t="str">
        <f>IFERROR(__xludf.DUMMYFUNCTION("""COMPUTED_VALUE"""),"G2 ATAS")</f>
        <v>G2 ATAS</v>
      </c>
      <c r="D23" s="34" t="str">
        <f>IFERROR(__xludf.DUMMYFUNCTION("""COMPUTED_VALUE"""),"A0022")</f>
        <v>A0022</v>
      </c>
      <c r="E23" s="35">
        <f>IFERROR(__xludf.DUMMYFUNCTION("""COMPUTED_VALUE"""),1248.75)</f>
        <v>1248.75</v>
      </c>
    </row>
    <row r="24">
      <c r="A24" s="34" t="str">
        <f>IFERROR(__xludf.DUMMYFUNCTION("""COMPUTED_VALUE"""),"MAP PLASTIK BENING")</f>
        <v>MAP PLASTIK BENING</v>
      </c>
      <c r="B24" s="34">
        <f>IFERROR(__xludf.DUMMYFUNCTION("""COMPUTED_VALUE"""),50.0)</f>
        <v>50</v>
      </c>
      <c r="C24" s="34" t="str">
        <f>IFERROR(__xludf.DUMMYFUNCTION("""COMPUTED_VALUE"""),"G2 ATAS")</f>
        <v>G2 ATAS</v>
      </c>
      <c r="D24" s="34" t="str">
        <f>IFERROR(__xludf.DUMMYFUNCTION("""COMPUTED_VALUE"""),"A0023")</f>
        <v>A0023</v>
      </c>
      <c r="E24" s="35">
        <f>IFERROR(__xludf.DUMMYFUNCTION("""COMPUTED_VALUE"""),3541.6666666666665)</f>
        <v>3541.666667</v>
      </c>
    </row>
    <row r="25">
      <c r="A25" s="34" t="str">
        <f>IFERROR(__xludf.DUMMYFUNCTION("""COMPUTED_VALUE"""),"BATU BATERAI A3")</f>
        <v>BATU BATERAI A3</v>
      </c>
      <c r="B25" s="34">
        <f>IFERROR(__xludf.DUMMYFUNCTION("""COMPUTED_VALUE"""),120.0)</f>
        <v>120</v>
      </c>
      <c r="C25" s="34" t="str">
        <f>IFERROR(__xludf.DUMMYFUNCTION("""COMPUTED_VALUE"""),"G2 ATAS")</f>
        <v>G2 ATAS</v>
      </c>
      <c r="D25" s="34" t="str">
        <f>IFERROR(__xludf.DUMMYFUNCTION("""COMPUTED_VALUE"""),"A0024")</f>
        <v>A0024</v>
      </c>
      <c r="E25" s="35">
        <f>IFERROR(__xludf.DUMMYFUNCTION("""COMPUTED_VALUE"""),6105.0)</f>
        <v>6105</v>
      </c>
    </row>
    <row r="26">
      <c r="A26" s="34" t="str">
        <f>IFERROR(__xludf.DUMMYFUNCTION("""COMPUTED_VALUE"""),"BATU BATERAI A2")</f>
        <v>BATU BATERAI A2</v>
      </c>
      <c r="B26" s="34">
        <f>IFERROR(__xludf.DUMMYFUNCTION("""COMPUTED_VALUE"""),48.0)</f>
        <v>48</v>
      </c>
      <c r="C26" s="34" t="str">
        <f>IFERROR(__xludf.DUMMYFUNCTION("""COMPUTED_VALUE"""),"G2 ATAS")</f>
        <v>G2 ATAS</v>
      </c>
      <c r="D26" s="34" t="str">
        <f>IFERROR(__xludf.DUMMYFUNCTION("""COMPUTED_VALUE"""),"A0025")</f>
        <v>A0025</v>
      </c>
      <c r="E26" s="35">
        <f>IFERROR(__xludf.DUMMYFUNCTION("""COMPUTED_VALUE"""),6105.0)</f>
        <v>6105</v>
      </c>
    </row>
    <row r="27">
      <c r="A27" s="34" t="str">
        <f>IFERROR(__xludf.DUMMYFUNCTION("""COMPUTED_VALUE"""),"SPIDOL HITAM")</f>
        <v>SPIDOL HITAM</v>
      </c>
      <c r="B27" s="34">
        <f>IFERROR(__xludf.DUMMYFUNCTION("""COMPUTED_VALUE"""),24.0)</f>
        <v>24</v>
      </c>
      <c r="C27" s="34" t="str">
        <f>IFERROR(__xludf.DUMMYFUNCTION("""COMPUTED_VALUE"""),"G2 ATAS")</f>
        <v>G2 ATAS</v>
      </c>
      <c r="D27" s="34" t="str">
        <f>IFERROR(__xludf.DUMMYFUNCTION("""COMPUTED_VALUE"""),"A0026")</f>
        <v>A0026</v>
      </c>
      <c r="E27" s="35">
        <f>IFERROR(__xludf.DUMMYFUNCTION("""COMPUTED_VALUE"""),9839.666666666666)</f>
        <v>9839.666667</v>
      </c>
    </row>
    <row r="28">
      <c r="A28" s="34" t="str">
        <f>IFERROR(__xludf.DUMMYFUNCTION("""COMPUTED_VALUE"""),"SPIDOL HITAM PERMANEN")</f>
        <v>SPIDOL HITAM PERMANEN</v>
      </c>
      <c r="B28" s="34">
        <f>IFERROR(__xludf.DUMMYFUNCTION("""COMPUTED_VALUE"""),24.0)</f>
        <v>24</v>
      </c>
      <c r="C28" s="34" t="str">
        <f>IFERROR(__xludf.DUMMYFUNCTION("""COMPUTED_VALUE"""),"G2 ATAS")</f>
        <v>G2 ATAS</v>
      </c>
      <c r="D28" s="34" t="str">
        <f>IFERROR(__xludf.DUMMYFUNCTION("""COMPUTED_VALUE"""),"A0027")</f>
        <v>A0027</v>
      </c>
      <c r="E28" s="35">
        <f>IFERROR(__xludf.DUMMYFUNCTION("""COMPUTED_VALUE"""),9839.666666666666)</f>
        <v>9839.666667</v>
      </c>
    </row>
    <row r="29">
      <c r="A29" s="34" t="str">
        <f>IFERROR(__xludf.DUMMYFUNCTION("""COMPUTED_VALUE"""),"SPIDOL MERAH")</f>
        <v>SPIDOL MERAH</v>
      </c>
      <c r="B29" s="34">
        <f>IFERROR(__xludf.DUMMYFUNCTION("""COMPUTED_VALUE"""),24.0)</f>
        <v>24</v>
      </c>
      <c r="C29" s="34" t="str">
        <f>IFERROR(__xludf.DUMMYFUNCTION("""COMPUTED_VALUE"""),"G2 ATAS")</f>
        <v>G2 ATAS</v>
      </c>
      <c r="D29" s="34" t="str">
        <f>IFERROR(__xludf.DUMMYFUNCTION("""COMPUTED_VALUE"""),"A0028")</f>
        <v>A0028</v>
      </c>
      <c r="E29" s="35">
        <f>IFERROR(__xludf.DUMMYFUNCTION("""COMPUTED_VALUE"""),9839.666666666666)</f>
        <v>9839.666667</v>
      </c>
    </row>
    <row r="30">
      <c r="A30" s="34" t="str">
        <f>IFERROR(__xludf.DUMMYFUNCTION("""COMPUTED_VALUE"""),"SPIDOL PUTIH")</f>
        <v>SPIDOL PUTIH</v>
      </c>
      <c r="B30" s="34">
        <f>IFERROR(__xludf.DUMMYFUNCTION("""COMPUTED_VALUE"""),24.0)</f>
        <v>24</v>
      </c>
      <c r="C30" s="34" t="str">
        <f>IFERROR(__xludf.DUMMYFUNCTION("""COMPUTED_VALUE"""),"G2 ATAS")</f>
        <v>G2 ATAS</v>
      </c>
      <c r="D30" s="34" t="str">
        <f>IFERROR(__xludf.DUMMYFUNCTION("""COMPUTED_VALUE"""),"A0029")</f>
        <v>A0029</v>
      </c>
      <c r="E30" s="35">
        <f>IFERROR(__xludf.DUMMYFUNCTION("""COMPUTED_VALUE"""),9839.666666666666)</f>
        <v>9839.666667</v>
      </c>
    </row>
    <row r="31">
      <c r="A31" s="34" t="str">
        <f>IFERROR(__xludf.DUMMYFUNCTION("""COMPUTED_VALUE"""),"ISI STAPLES KECIL")</f>
        <v>ISI STAPLES KECIL</v>
      </c>
      <c r="B31" s="34">
        <f>IFERROR(__xludf.DUMMYFUNCTION("""COMPUTED_VALUE"""),80.0)</f>
        <v>80</v>
      </c>
      <c r="C31" s="34" t="str">
        <f>IFERROR(__xludf.DUMMYFUNCTION("""COMPUTED_VALUE"""),"G2 ATAS")</f>
        <v>G2 ATAS</v>
      </c>
      <c r="D31" s="34" t="str">
        <f>IFERROR(__xludf.DUMMYFUNCTION("""COMPUTED_VALUE"""),"A0030")</f>
        <v>A0030</v>
      </c>
      <c r="E31" s="35">
        <f>IFERROR(__xludf.DUMMYFUNCTION("""COMPUTED_VALUE"""),3052.5)</f>
        <v>3052.5</v>
      </c>
    </row>
    <row r="32">
      <c r="A32" s="34" t="str">
        <f>IFERROR(__xludf.DUMMYFUNCTION("""COMPUTED_VALUE"""),"ISI STAPLES BESAR")</f>
        <v>ISI STAPLES BESAR</v>
      </c>
      <c r="B32" s="34">
        <f>IFERROR(__xludf.DUMMYFUNCTION("""COMPUTED_VALUE"""),10.0)</f>
        <v>10</v>
      </c>
      <c r="C32" s="34" t="str">
        <f>IFERROR(__xludf.DUMMYFUNCTION("""COMPUTED_VALUE"""),"G2 ATAS")</f>
        <v>G2 ATAS</v>
      </c>
      <c r="D32" s="34" t="str">
        <f>IFERROR(__xludf.DUMMYFUNCTION("""COMPUTED_VALUE"""),"A0031")</f>
        <v>A0031</v>
      </c>
      <c r="E32" s="35">
        <f>IFERROR(__xludf.DUMMYFUNCTION("""COMPUTED_VALUE"""),1998.0)</f>
        <v>1998</v>
      </c>
    </row>
    <row r="33">
      <c r="A33" s="34" t="str">
        <f>IFERROR(__xludf.DUMMYFUNCTION("""COMPUTED_VALUE"""),"STAPLES")</f>
        <v>STAPLES</v>
      </c>
      <c r="B33" s="34">
        <f>IFERROR(__xludf.DUMMYFUNCTION("""COMPUTED_VALUE"""),12.0)</f>
        <v>12</v>
      </c>
      <c r="C33" s="34" t="str">
        <f>IFERROR(__xludf.DUMMYFUNCTION("""COMPUTED_VALUE"""),"G2 ATAS")</f>
        <v>G2 ATAS</v>
      </c>
      <c r="D33" s="34" t="str">
        <f>IFERROR(__xludf.DUMMYFUNCTION("""COMPUTED_VALUE"""),"A0032")</f>
        <v>A0032</v>
      </c>
      <c r="E33" s="35">
        <f>IFERROR(__xludf.DUMMYFUNCTION("""COMPUTED_VALUE"""),15000.0)</f>
        <v>15000</v>
      </c>
    </row>
    <row r="34">
      <c r="A34" s="34" t="str">
        <f>IFERROR(__xludf.DUMMYFUNCTION("""COMPUTED_VALUE"""),"MATERAI")</f>
        <v>MATERAI</v>
      </c>
      <c r="B34" s="34">
        <f>IFERROR(__xludf.DUMMYFUNCTION("""COMPUTED_VALUE"""),100.0)</f>
        <v>100</v>
      </c>
      <c r="C34" s="34" t="str">
        <f>IFERROR(__xludf.DUMMYFUNCTION("""COMPUTED_VALUE"""),"G2 ATAS")</f>
        <v>G2 ATAS</v>
      </c>
      <c r="D34" s="34" t="str">
        <f>IFERROR(__xludf.DUMMYFUNCTION("""COMPUTED_VALUE"""),"A0033")</f>
        <v>A0033</v>
      </c>
      <c r="E34" s="35">
        <f>IFERROR(__xludf.DUMMYFUNCTION("""COMPUTED_VALUE"""),12000.0)</f>
        <v>12000</v>
      </c>
    </row>
    <row r="35">
      <c r="A35" s="34" t="str">
        <f>IFERROR(__xludf.DUMMYFUNCTION("""COMPUTED_VALUE"""),"DOUBLE TAPE PUTIH")</f>
        <v>DOUBLE TAPE PUTIH</v>
      </c>
      <c r="B35" s="34">
        <f>IFERROR(__xludf.DUMMYFUNCTION("""COMPUTED_VALUE"""),10.0)</f>
        <v>10</v>
      </c>
      <c r="C35" s="34" t="str">
        <f>IFERROR(__xludf.DUMMYFUNCTION("""COMPUTED_VALUE"""),"G2 ATAS")</f>
        <v>G2 ATAS</v>
      </c>
      <c r="D35" s="34" t="str">
        <f>IFERROR(__xludf.DUMMYFUNCTION("""COMPUTED_VALUE"""),"A0034")</f>
        <v>A0034</v>
      </c>
      <c r="E35" s="35">
        <f>IFERROR(__xludf.DUMMYFUNCTION("""COMPUTED_VALUE"""),2463.0)</f>
        <v>2463</v>
      </c>
    </row>
    <row r="36">
      <c r="A36" s="34" t="str">
        <f>IFERROR(__xludf.DUMMYFUNCTION("""COMPUTED_VALUE"""),"DOUBLE TAPE FOAM")</f>
        <v>DOUBLE TAPE FOAM</v>
      </c>
      <c r="B36" s="34">
        <f>IFERROR(__xludf.DUMMYFUNCTION("""COMPUTED_VALUE"""),10.0)</f>
        <v>10</v>
      </c>
      <c r="C36" s="34" t="str">
        <f>IFERROR(__xludf.DUMMYFUNCTION("""COMPUTED_VALUE"""),"G2 ATAS")</f>
        <v>G2 ATAS</v>
      </c>
      <c r="D36" s="34" t="str">
        <f>IFERROR(__xludf.DUMMYFUNCTION("""COMPUTED_VALUE"""),"A0035")</f>
        <v>A0035</v>
      </c>
      <c r="E36" s="35">
        <f>IFERROR(__xludf.DUMMYFUNCTION("""COMPUTED_VALUE"""),27195.0)</f>
        <v>27195</v>
      </c>
    </row>
    <row r="37">
      <c r="A37" s="34" t="str">
        <f>IFERROR(__xludf.DUMMYFUNCTION("""COMPUTED_VALUE"""),"SHEET PROTECTOR ")</f>
        <v>SHEET PROTECTOR </v>
      </c>
      <c r="B37" s="34">
        <f>IFERROR(__xludf.DUMMYFUNCTION("""COMPUTED_VALUE"""),50.0)</f>
        <v>50</v>
      </c>
      <c r="C37" s="34" t="str">
        <f>IFERROR(__xludf.DUMMYFUNCTION("""COMPUTED_VALUE"""),"G2 ATAS")</f>
        <v>G2 ATAS</v>
      </c>
      <c r="D37" s="34" t="str">
        <f>IFERROR(__xludf.DUMMYFUNCTION("""COMPUTED_VALUE"""),"A0036")</f>
        <v>A0036</v>
      </c>
      <c r="E37" s="35">
        <f>IFERROR(__xludf.DUMMYFUNCTION("""COMPUTED_VALUE"""),9491.0)</f>
        <v>9491</v>
      </c>
    </row>
    <row r="38">
      <c r="A38" s="34" t="str">
        <f>IFERROR(__xludf.DUMMYFUNCTION("""COMPUTED_VALUE"""),"BANTEX ")</f>
        <v>BANTEX </v>
      </c>
      <c r="B38" s="34">
        <f>IFERROR(__xludf.DUMMYFUNCTION("""COMPUTED_VALUE"""),24.0)</f>
        <v>24</v>
      </c>
      <c r="C38" s="34" t="str">
        <f>IFERROR(__xludf.DUMMYFUNCTION("""COMPUTED_VALUE"""),"G2 ATAS")</f>
        <v>G2 ATAS</v>
      </c>
      <c r="D38" s="34" t="str">
        <f>IFERROR(__xludf.DUMMYFUNCTION("""COMPUTED_VALUE"""),"A0037")</f>
        <v>A0037</v>
      </c>
      <c r="E38" s="35">
        <f>IFERROR(__xludf.DUMMYFUNCTION("""COMPUTED_VALUE"""),24300.0)</f>
        <v>24300</v>
      </c>
    </row>
    <row r="39">
      <c r="A39" s="34" t="str">
        <f>IFERROR(__xludf.DUMMYFUNCTION("""COMPUTED_VALUE"""),"BOX FILE BINDEX")</f>
        <v>BOX FILE BINDEX</v>
      </c>
      <c r="B39" s="34">
        <f>IFERROR(__xludf.DUMMYFUNCTION("""COMPUTED_VALUE"""),24.0)</f>
        <v>24</v>
      </c>
      <c r="C39" s="34" t="str">
        <f>IFERROR(__xludf.DUMMYFUNCTION("""COMPUTED_VALUE"""),"G2 ATAS")</f>
        <v>G2 ATAS</v>
      </c>
      <c r="D39" s="34" t="str">
        <f>IFERROR(__xludf.DUMMYFUNCTION("""COMPUTED_VALUE"""),"A0038")</f>
        <v>A0038</v>
      </c>
      <c r="E39" s="35">
        <f>IFERROR(__xludf.DUMMYFUNCTION("""COMPUTED_VALUE"""),18870.0)</f>
        <v>18870</v>
      </c>
    </row>
    <row r="40">
      <c r="A40" s="34" t="str">
        <f>IFERROR(__xludf.DUMMYFUNCTION("""COMPUTED_VALUE"""),"PAPAN JALAN")</f>
        <v>PAPAN JALAN</v>
      </c>
      <c r="B40" s="34">
        <f>IFERROR(__xludf.DUMMYFUNCTION("""COMPUTED_VALUE"""),5.0)</f>
        <v>5</v>
      </c>
      <c r="C40" s="34" t="str">
        <f>IFERROR(__xludf.DUMMYFUNCTION("""COMPUTED_VALUE"""),"G2 ATAS")</f>
        <v>G2 ATAS</v>
      </c>
      <c r="D40" s="34" t="str">
        <f>IFERROR(__xludf.DUMMYFUNCTION("""COMPUTED_VALUE"""),"A0039")</f>
        <v>A0039</v>
      </c>
      <c r="E40" s="35">
        <f>IFERROR(__xludf.DUMMYFUNCTION("""COMPUTED_VALUE"""),27639.0)</f>
        <v>27639</v>
      </c>
    </row>
    <row r="41">
      <c r="A41" s="34" t="str">
        <f>IFERROR(__xludf.DUMMYFUNCTION("""COMPUTED_VALUE"""),"SURAT LEMBURAN ")</f>
        <v>SURAT LEMBURAN </v>
      </c>
      <c r="B41" s="34">
        <f>IFERROR(__xludf.DUMMYFUNCTION("""COMPUTED_VALUE"""),3.0)</f>
        <v>3</v>
      </c>
      <c r="C41" s="34" t="str">
        <f>IFERROR(__xludf.DUMMYFUNCTION("""COMPUTED_VALUE"""),"G5")</f>
        <v>G5</v>
      </c>
      <c r="D41" s="34" t="str">
        <f>IFERROR(__xludf.DUMMYFUNCTION("""COMPUTED_VALUE"""),"A0040")</f>
        <v>A0040</v>
      </c>
      <c r="E41" s="35">
        <f>IFERROR(__xludf.DUMMYFUNCTION("""COMPUTED_VALUE"""),200.0)</f>
        <v>200</v>
      </c>
    </row>
    <row r="42">
      <c r="A42" s="34" t="str">
        <f>IFERROR(__xludf.DUMMYFUNCTION("""COMPUTED_VALUE"""),"SUSU ")</f>
        <v>SUSU </v>
      </c>
      <c r="B42" s="34">
        <f>IFERROR(__xludf.DUMMYFUNCTION("""COMPUTED_VALUE"""),1200.0)</f>
        <v>1200</v>
      </c>
      <c r="C42" s="34" t="str">
        <f>IFERROR(__xludf.DUMMYFUNCTION("""COMPUTED_VALUE"""),"G5")</f>
        <v>G5</v>
      </c>
      <c r="D42" s="34" t="str">
        <f>IFERROR(__xludf.DUMMYFUNCTION("""COMPUTED_VALUE"""),"A0041")</f>
        <v>A0041</v>
      </c>
      <c r="E42" s="35">
        <f>IFERROR(__xludf.DUMMYFUNCTION("""COMPUTED_VALUE"""),7862.5)</f>
        <v>7862.5</v>
      </c>
    </row>
    <row r="43">
      <c r="A43" s="34" t="str">
        <f>IFERROR(__xludf.DUMMYFUNCTION("""COMPUTED_VALUE"""),"AIR MINERAL")</f>
        <v>AIR MINERAL</v>
      </c>
      <c r="B43" s="34">
        <f>IFERROR(__xludf.DUMMYFUNCTION("""COMPUTED_VALUE"""),480.0)</f>
        <v>480</v>
      </c>
      <c r="C43" s="34" t="str">
        <f>IFERROR(__xludf.DUMMYFUNCTION("""COMPUTED_VALUE"""),"G5")</f>
        <v>G5</v>
      </c>
      <c r="D43" s="34" t="str">
        <f>IFERROR(__xludf.DUMMYFUNCTION("""COMPUTED_VALUE"""),"A0042")</f>
        <v>A0042</v>
      </c>
      <c r="E43" s="35">
        <f>IFERROR(__xludf.DUMMYFUNCTION("""COMPUTED_VALUE"""),5087.5)</f>
        <v>5087.5</v>
      </c>
    </row>
    <row r="44">
      <c r="A44" s="34" t="str">
        <f>IFERROR(__xludf.DUMMYFUNCTION("""COMPUTED_VALUE"""),"TEH BOTOL")</f>
        <v>TEH BOTOL</v>
      </c>
      <c r="B44" s="34">
        <f>IFERROR(__xludf.DUMMYFUNCTION("""COMPUTED_VALUE"""),360.0)</f>
        <v>360</v>
      </c>
      <c r="C44" s="34" t="str">
        <f>IFERROR(__xludf.DUMMYFUNCTION("""COMPUTED_VALUE"""),"G5")</f>
        <v>G5</v>
      </c>
      <c r="D44" s="34" t="str">
        <f>IFERROR(__xludf.DUMMYFUNCTION("""COMPUTED_VALUE"""),"A0043")</f>
        <v>A0043</v>
      </c>
      <c r="E44" s="35">
        <f>IFERROR(__xludf.DUMMYFUNCTION("""COMPUTED_VALUE"""),2807.375)</f>
        <v>2807.375</v>
      </c>
    </row>
    <row r="45">
      <c r="A45" s="34" t="str">
        <f>IFERROR(__xludf.DUMMYFUNCTION("""COMPUTED_VALUE"""),"KALKULATOR CITIZEN TYPE SDC 868 L")</f>
        <v>KALKULATOR CITIZEN TYPE SDC 868 L</v>
      </c>
      <c r="B45" s="34">
        <f>IFERROR(__xludf.DUMMYFUNCTION("""COMPUTED_VALUE"""),2.0)</f>
        <v>2</v>
      </c>
      <c r="C45" s="34" t="str">
        <f>IFERROR(__xludf.DUMMYFUNCTION("""COMPUTED_VALUE"""),"G2 ATAS")</f>
        <v>G2 ATAS</v>
      </c>
      <c r="D45" s="34" t="str">
        <f>IFERROR(__xludf.DUMMYFUNCTION("""COMPUTED_VALUE"""),"A0044")</f>
        <v>A0044</v>
      </c>
      <c r="E45" s="35">
        <f>IFERROR(__xludf.DUMMYFUNCTION("""COMPUTED_VALUE"""),69375.0)</f>
        <v>69375</v>
      </c>
    </row>
    <row r="46">
      <c r="A46" s="34" t="str">
        <f>IFERROR(__xludf.DUMMYFUNCTION("""COMPUTED_VALUE"""),"DELI PENA MEJA PULPEN PEN SMILE DESK PEN STAND 0.7MM - HITAM")</f>
        <v>DELI PENA MEJA PULPEN PEN SMILE DESK PEN STAND 0.7MM - HITAM</v>
      </c>
      <c r="B46" s="34">
        <f>IFERROR(__xludf.DUMMYFUNCTION("""COMPUTED_VALUE"""),10.0)</f>
        <v>10</v>
      </c>
      <c r="C46" s="34" t="str">
        <f>IFERROR(__xludf.DUMMYFUNCTION("""COMPUTED_VALUE"""),"G2 ATAS")</f>
        <v>G2 ATAS</v>
      </c>
      <c r="D46" s="34" t="str">
        <f>IFERROR(__xludf.DUMMYFUNCTION("""COMPUTED_VALUE"""),"A0045")</f>
        <v>A0045</v>
      </c>
      <c r="E46" s="35">
        <f>IFERROR(__xludf.DUMMYFUNCTION("""COMPUTED_VALUE"""),11766.0)</f>
        <v>11766</v>
      </c>
    </row>
    <row r="47">
      <c r="A47" s="34" t="str">
        <f>IFERROR(__xludf.DUMMYFUNCTION("""COMPUTED_VALUE"""),"TOPRON PEMBERSIH KERAMIK , PORCELAIN BOTOL 1 LITER ")</f>
        <v>TOPRON PEMBERSIH KERAMIK , PORCELAIN BOTOL 1 LITER </v>
      </c>
      <c r="B47" s="34">
        <f>IFERROR(__xludf.DUMMYFUNCTION("""COMPUTED_VALUE"""),12.0)</f>
        <v>12</v>
      </c>
      <c r="C47" s="34" t="str">
        <f>IFERROR(__xludf.DUMMYFUNCTION("""COMPUTED_VALUE"""),"G5")</f>
        <v>G5</v>
      </c>
      <c r="D47" s="34" t="str">
        <f>IFERROR(__xludf.DUMMYFUNCTION("""COMPUTED_VALUE"""),"A0046")</f>
        <v>A0046</v>
      </c>
      <c r="E47" s="35">
        <f>IFERROR(__xludf.DUMMYFUNCTION("""COMPUTED_VALUE"""),44678.0)</f>
        <v>44678</v>
      </c>
    </row>
    <row r="48">
      <c r="A48" s="34" t="str">
        <f>IFERROR(__xludf.DUMMYFUNCTION("""COMPUTED_VALUE"""),"PORSTEX")</f>
        <v>PORSTEX</v>
      </c>
      <c r="B48" s="34">
        <f>IFERROR(__xludf.DUMMYFUNCTION("""COMPUTED_VALUE"""),12.0)</f>
        <v>12</v>
      </c>
      <c r="C48" s="34" t="str">
        <f>IFERROR(__xludf.DUMMYFUNCTION("""COMPUTED_VALUE"""),"G5")</f>
        <v>G5</v>
      </c>
      <c r="D48" s="34" t="str">
        <f>IFERROR(__xludf.DUMMYFUNCTION("""COMPUTED_VALUE"""),"A0047")</f>
        <v>A0047</v>
      </c>
      <c r="E48" s="35">
        <f>IFERROR(__xludf.DUMMYFUNCTION("""COMPUTED_VALUE"""),35520.0)</f>
        <v>35520</v>
      </c>
    </row>
    <row r="49">
      <c r="A49" s="34" t="str">
        <f>IFERROR(__xludf.DUMMYFUNCTION("""COMPUTED_VALUE"""),"KOPI KAPAL API 380 GR")</f>
        <v>KOPI KAPAL API 380 GR</v>
      </c>
      <c r="B49" s="34">
        <f>IFERROR(__xludf.DUMMYFUNCTION("""COMPUTED_VALUE"""),2.0)</f>
        <v>2</v>
      </c>
      <c r="C49" s="34" t="str">
        <f>IFERROR(__xludf.DUMMYFUNCTION("""COMPUTED_VALUE"""),"F2")</f>
        <v>F2</v>
      </c>
      <c r="D49" s="34" t="str">
        <f>IFERROR(__xludf.DUMMYFUNCTION("""COMPUTED_VALUE"""),"A0048")</f>
        <v>A0048</v>
      </c>
      <c r="E49" s="35">
        <f>IFERROR(__xludf.DUMMYFUNCTION("""COMPUTED_VALUE"""),16650.0)</f>
        <v>16650</v>
      </c>
    </row>
    <row r="50">
      <c r="A50" s="34" t="str">
        <f>IFERROR(__xludf.DUMMYFUNCTION("""COMPUTED_VALUE"""),"HAIRNET KAIN")</f>
        <v>HAIRNET KAIN</v>
      </c>
      <c r="B50" s="34"/>
      <c r="C50" s="34" t="str">
        <f>IFERROR(__xludf.DUMMYFUNCTION("""COMPUTED_VALUE"""),"G5")</f>
        <v>G5</v>
      </c>
      <c r="D50" s="34" t="str">
        <f>IFERROR(__xludf.DUMMYFUNCTION("""COMPUTED_VALUE"""),"A0049")</f>
        <v>A0049</v>
      </c>
      <c r="E50" s="35">
        <f>IFERROR(__xludf.DUMMYFUNCTION("""COMPUTED_VALUE"""),22922.0)</f>
        <v>22922</v>
      </c>
    </row>
    <row r="51">
      <c r="A51" s="34" t="str">
        <f>IFERROR(__xludf.DUMMYFUNCTION("""COMPUTED_VALUE"""),"HAIRNET DISPOSABLE")</f>
        <v>HAIRNET DISPOSABLE</v>
      </c>
      <c r="B51" s="34">
        <f>IFERROR(__xludf.DUMMYFUNCTION("""COMPUTED_VALUE"""),2.0)</f>
        <v>2</v>
      </c>
      <c r="C51" s="34" t="str">
        <f>IFERROR(__xludf.DUMMYFUNCTION("""COMPUTED_VALUE"""),"G5")</f>
        <v>G5</v>
      </c>
      <c r="D51" s="34" t="str">
        <f>IFERROR(__xludf.DUMMYFUNCTION("""COMPUTED_VALUE"""),"A0050")</f>
        <v>A0050</v>
      </c>
      <c r="E51" s="35">
        <f>IFERROR(__xludf.DUMMYFUNCTION("""COMPUTED_VALUE"""),46250.0)</f>
        <v>46250</v>
      </c>
    </row>
    <row r="52">
      <c r="A52" s="34" t="str">
        <f>IFERROR(__xludf.DUMMYFUNCTION("""COMPUTED_VALUE"""),"GULA PASIR")</f>
        <v>GULA PASIR</v>
      </c>
      <c r="B52" s="34">
        <f>IFERROR(__xludf.DUMMYFUNCTION("""COMPUTED_VALUE"""),2.0)</f>
        <v>2</v>
      </c>
      <c r="C52" s="34" t="str">
        <f>IFERROR(__xludf.DUMMYFUNCTION("""COMPUTED_VALUE"""),"F2")</f>
        <v>F2</v>
      </c>
      <c r="D52" s="34" t="str">
        <f>IFERROR(__xludf.DUMMYFUNCTION("""COMPUTED_VALUE"""),"A0051")</f>
        <v>A0051</v>
      </c>
      <c r="E52" s="35">
        <f>IFERROR(__xludf.DUMMYFUNCTION("""COMPUTED_VALUE"""),57998.0)</f>
        <v>57998</v>
      </c>
    </row>
    <row r="53">
      <c r="A53" s="34" t="str">
        <f>IFERROR(__xludf.DUMMYFUNCTION("""COMPUTED_VALUE"""),"TISSUE")</f>
        <v>TISSUE</v>
      </c>
      <c r="B53" s="34">
        <f>IFERROR(__xludf.DUMMYFUNCTION("""COMPUTED_VALUE"""),10.0)</f>
        <v>10</v>
      </c>
      <c r="C53" s="34" t="str">
        <f>IFERROR(__xludf.DUMMYFUNCTION("""COMPUTED_VALUE"""),"G5")</f>
        <v>G5</v>
      </c>
      <c r="D53" s="34" t="str">
        <f>IFERROR(__xludf.DUMMYFUNCTION("""COMPUTED_VALUE"""),"A0052")</f>
        <v>A0052</v>
      </c>
      <c r="E53" s="35">
        <f>IFERROR(__xludf.DUMMYFUNCTION("""COMPUTED_VALUE"""),41625.0)</f>
        <v>41625</v>
      </c>
    </row>
    <row r="54">
      <c r="A54" s="34" t="str">
        <f>IFERROR(__xludf.DUMMYFUNCTION("""COMPUTED_VALUE"""),"LATEX SARUNG TANGAN ")</f>
        <v>LATEX SARUNG TANGAN </v>
      </c>
      <c r="B54" s="34">
        <f>IFERROR(__xludf.DUMMYFUNCTION("""COMPUTED_VALUE"""),100.0)</f>
        <v>100</v>
      </c>
      <c r="C54" s="34" t="str">
        <f>IFERROR(__xludf.DUMMYFUNCTION("""COMPUTED_VALUE"""),"G5")</f>
        <v>G5</v>
      </c>
      <c r="D54" s="34" t="str">
        <f>IFERROR(__xludf.DUMMYFUNCTION("""COMPUTED_VALUE"""),"A0053")</f>
        <v>A0053</v>
      </c>
      <c r="E54" s="35">
        <f>IFERROR(__xludf.DUMMYFUNCTION("""COMPUTED_VALUE"""),78255.0)</f>
        <v>78255</v>
      </c>
    </row>
    <row r="55">
      <c r="A55" s="34" t="str">
        <f>IFERROR(__xludf.DUMMYFUNCTION("""COMPUTED_VALUE"""),"MASKER")</f>
        <v>MASKER</v>
      </c>
      <c r="B55" s="34">
        <f>IFERROR(__xludf.DUMMYFUNCTION("""COMPUTED_VALUE"""),100.0)</f>
        <v>100</v>
      </c>
      <c r="C55" s="34" t="str">
        <f>IFERROR(__xludf.DUMMYFUNCTION("""COMPUTED_VALUE"""),"G5")</f>
        <v>G5</v>
      </c>
      <c r="D55" s="34" t="str">
        <f>IFERROR(__xludf.DUMMYFUNCTION("""COMPUTED_VALUE"""),"A0054")</f>
        <v>A0054</v>
      </c>
      <c r="E55" s="35">
        <f>IFERROR(__xludf.DUMMYFUNCTION("""COMPUTED_VALUE"""),20535.0)</f>
        <v>20535</v>
      </c>
    </row>
    <row r="56">
      <c r="A56" s="34" t="str">
        <f>IFERROR(__xludf.DUMMYFUNCTION("""COMPUTED_VALUE"""),"SHUNTON P10 80GR - KAMPER ")</f>
        <v>SHUNTON P10 80GR - KAMPER </v>
      </c>
      <c r="B56" s="34">
        <f>IFERROR(__xludf.DUMMYFUNCTION("""COMPUTED_VALUE"""),2.0)</f>
        <v>2</v>
      </c>
      <c r="C56" s="34" t="str">
        <f>IFERROR(__xludf.DUMMYFUNCTION("""COMPUTED_VALUE"""),"G5")</f>
        <v>G5</v>
      </c>
      <c r="D56" s="34" t="str">
        <f>IFERROR(__xludf.DUMMYFUNCTION("""COMPUTED_VALUE"""),"A0055")</f>
        <v>A0055</v>
      </c>
      <c r="E56" s="35">
        <f>IFERROR(__xludf.DUMMYFUNCTION("""COMPUTED_VALUE"""),20091.0)</f>
        <v>20091</v>
      </c>
    </row>
    <row r="57">
      <c r="A57" s="34" t="str">
        <f>IFERROR(__xludf.DUMMYFUNCTION("""COMPUTED_VALUE"""),"PLASTIK LAMINATIN ")</f>
        <v>PLASTIK LAMINATIN </v>
      </c>
      <c r="B57" s="34">
        <f>IFERROR(__xludf.DUMMYFUNCTION("""COMPUTED_VALUE"""),200.0)</f>
        <v>200</v>
      </c>
      <c r="C57" s="34" t="str">
        <f>IFERROR(__xludf.DUMMYFUNCTION("""COMPUTED_VALUE"""),"G2 ATAS")</f>
        <v>G2 ATAS</v>
      </c>
      <c r="D57" s="34" t="str">
        <f>IFERROR(__xludf.DUMMYFUNCTION("""COMPUTED_VALUE"""),"A0056")</f>
        <v>A0056</v>
      </c>
      <c r="E57" s="35">
        <f>IFERROR(__xludf.DUMMYFUNCTION("""COMPUTED_VALUE"""),1542.9)</f>
        <v>1542.9</v>
      </c>
    </row>
    <row r="58">
      <c r="A58" s="34" t="str">
        <f>IFERROR(__xludf.DUMMYFUNCTION("""COMPUTED_VALUE"""),"TINTA PRINTER L3201 BIRU")</f>
        <v>TINTA PRINTER L3201 BIRU</v>
      </c>
      <c r="B58" s="34">
        <f>IFERROR(__xludf.DUMMYFUNCTION("""COMPUTED_VALUE"""),20.0)</f>
        <v>20</v>
      </c>
      <c r="C58" s="34" t="str">
        <f>IFERROR(__xludf.DUMMYFUNCTION("""COMPUTED_VALUE"""),"G2 ATAS")</f>
        <v>G2 ATAS</v>
      </c>
      <c r="D58" s="34" t="str">
        <f>IFERROR(__xludf.DUMMYFUNCTION("""COMPUTED_VALUE"""),"A0057")</f>
        <v>A0057</v>
      </c>
      <c r="E58" s="35">
        <f>IFERROR(__xludf.DUMMYFUNCTION("""COMPUTED_VALUE"""),24420.0)</f>
        <v>24420</v>
      </c>
    </row>
    <row r="59">
      <c r="A59" s="34" t="str">
        <f>IFERROR(__xludf.DUMMYFUNCTION("""COMPUTED_VALUE"""),"TINTA PRINTER L3201 PINK")</f>
        <v>TINTA PRINTER L3201 PINK</v>
      </c>
      <c r="B59" s="34">
        <f>IFERROR(__xludf.DUMMYFUNCTION("""COMPUTED_VALUE"""),20.0)</f>
        <v>20</v>
      </c>
      <c r="C59" s="34" t="str">
        <f>IFERROR(__xludf.DUMMYFUNCTION("""COMPUTED_VALUE"""),"G2 ATAS")</f>
        <v>G2 ATAS</v>
      </c>
      <c r="D59" s="34" t="str">
        <f>IFERROR(__xludf.DUMMYFUNCTION("""COMPUTED_VALUE"""),"A0058")</f>
        <v>A0058</v>
      </c>
      <c r="E59" s="35">
        <f>IFERROR(__xludf.DUMMYFUNCTION("""COMPUTED_VALUE"""),24420.0)</f>
        <v>24420</v>
      </c>
    </row>
    <row r="60">
      <c r="A60" s="34" t="str">
        <f>IFERROR(__xludf.DUMMYFUNCTION("""COMPUTED_VALUE"""),"TINTA PRINTER L3201 KUNING")</f>
        <v>TINTA PRINTER L3201 KUNING</v>
      </c>
      <c r="B60" s="34">
        <f>IFERROR(__xludf.DUMMYFUNCTION("""COMPUTED_VALUE"""),20.0)</f>
        <v>20</v>
      </c>
      <c r="C60" s="34" t="str">
        <f>IFERROR(__xludf.DUMMYFUNCTION("""COMPUTED_VALUE"""),"G2 ATAS")</f>
        <v>G2 ATAS</v>
      </c>
      <c r="D60" s="34" t="str">
        <f>IFERROR(__xludf.DUMMYFUNCTION("""COMPUTED_VALUE"""),"A0059")</f>
        <v>A0059</v>
      </c>
      <c r="E60" s="35">
        <f>IFERROR(__xludf.DUMMYFUNCTION("""COMPUTED_VALUE"""),24420.0)</f>
        <v>24420</v>
      </c>
    </row>
    <row r="61">
      <c r="A61" s="34" t="str">
        <f>IFERROR(__xludf.DUMMYFUNCTION("""COMPUTED_VALUE"""),"TINTA PRINTER L3201 HITAM")</f>
        <v>TINTA PRINTER L3201 HITAM</v>
      </c>
      <c r="B61" s="34">
        <f>IFERROR(__xludf.DUMMYFUNCTION("""COMPUTED_VALUE"""),20.0)</f>
        <v>20</v>
      </c>
      <c r="C61" s="34" t="str">
        <f>IFERROR(__xludf.DUMMYFUNCTION("""COMPUTED_VALUE"""),"G2 ATAS")</f>
        <v>G2 ATAS</v>
      </c>
      <c r="D61" s="34" t="str">
        <f>IFERROR(__xludf.DUMMYFUNCTION("""COMPUTED_VALUE"""),"A0060")</f>
        <v>A0060</v>
      </c>
      <c r="E61" s="35">
        <f>IFERROR(__xludf.DUMMYFUNCTION("""COMPUTED_VALUE"""),24420.0)</f>
        <v>24420</v>
      </c>
    </row>
    <row r="62">
      <c r="A62" s="34" t="str">
        <f>IFERROR(__xludf.DUMMYFUNCTION("""COMPUTED_VALUE"""),"TINTA STEMPEL")</f>
        <v>TINTA STEMPEL</v>
      </c>
      <c r="B62" s="34">
        <f>IFERROR(__xludf.DUMMYFUNCTION("""COMPUTED_VALUE"""),10.0)</f>
        <v>10</v>
      </c>
      <c r="C62" s="34" t="str">
        <f>IFERROR(__xludf.DUMMYFUNCTION("""COMPUTED_VALUE"""),"G2 ATAS")</f>
        <v>G2 ATAS</v>
      </c>
      <c r="D62" s="34" t="str">
        <f>IFERROR(__xludf.DUMMYFUNCTION("""COMPUTED_VALUE"""),"A0061")</f>
        <v>A0061</v>
      </c>
      <c r="E62" s="35">
        <f>IFERROR(__xludf.DUMMYFUNCTION("""COMPUTED_VALUE"""),10000.0)</f>
        <v>10000</v>
      </c>
    </row>
    <row r="63">
      <c r="A63" s="34" t="str">
        <f>IFERROR(__xludf.DUMMYFUNCTION("""COMPUTED_VALUE"""),"TINTA LX-310")</f>
        <v>TINTA LX-310</v>
      </c>
      <c r="B63" s="34">
        <f>IFERROR(__xludf.DUMMYFUNCTION("""COMPUTED_VALUE"""),5.0)</f>
        <v>5</v>
      </c>
      <c r="C63" s="34" t="str">
        <f>IFERROR(__xludf.DUMMYFUNCTION("""COMPUTED_VALUE"""),"G2 ATAS")</f>
        <v>G2 ATAS</v>
      </c>
      <c r="D63" s="34" t="str">
        <f>IFERROR(__xludf.DUMMYFUNCTION("""COMPUTED_VALUE"""),"A0062")</f>
        <v>A0062</v>
      </c>
      <c r="E63" s="35">
        <f>IFERROR(__xludf.DUMMYFUNCTION("""COMPUTED_VALUE"""),30000.0)</f>
        <v>30000</v>
      </c>
    </row>
    <row r="64">
      <c r="A64" s="34" t="str">
        <f>IFERROR(__xludf.DUMMYFUNCTION("""COMPUTED_VALUE"""),"LAMPU PHILIPS LEDTUBE 18 W")</f>
        <v>LAMPU PHILIPS LEDTUBE 18 W</v>
      </c>
      <c r="B64" s="34">
        <f>IFERROR(__xludf.DUMMYFUNCTION("""COMPUTED_VALUE"""),50.0)</f>
        <v>50</v>
      </c>
      <c r="C64" s="34" t="str">
        <f>IFERROR(__xludf.DUMMYFUNCTION("""COMPUTED_VALUE"""),"G5")</f>
        <v>G5</v>
      </c>
      <c r="D64" s="34" t="str">
        <f>IFERROR(__xludf.DUMMYFUNCTION("""COMPUTED_VALUE"""),"A0063")</f>
        <v>A0063</v>
      </c>
      <c r="E64" s="35">
        <f>IFERROR(__xludf.DUMMYFUNCTION("""COMPUTED_VALUE"""),92019.0)</f>
        <v>92019</v>
      </c>
    </row>
    <row r="65">
      <c r="A65" s="34" t="str">
        <f>IFERROR(__xludf.DUMMYFUNCTION("""COMPUTED_VALUE"""),"HAND SANITIZER CAIR 5 LITER PURELIZER ASEPTIC 5L")</f>
        <v>HAND SANITIZER CAIR 5 LITER PURELIZER ASEPTIC 5L</v>
      </c>
      <c r="B65" s="34">
        <f>IFERROR(__xludf.DUMMYFUNCTION("""COMPUTED_VALUE"""),5.0)</f>
        <v>5</v>
      </c>
      <c r="C65" s="34" t="str">
        <f>IFERROR(__xludf.DUMMYFUNCTION("""COMPUTED_VALUE"""),"G5")</f>
        <v>G5</v>
      </c>
      <c r="D65" s="34" t="str">
        <f>IFERROR(__xludf.DUMMYFUNCTION("""COMPUTED_VALUE"""),"A0064")</f>
        <v>A0064</v>
      </c>
      <c r="E65" s="35">
        <f>IFERROR(__xludf.DUMMYFUNCTION("""COMPUTED_VALUE"""),115810.0)</f>
        <v>115810</v>
      </c>
    </row>
    <row r="66">
      <c r="A66" s="34" t="str">
        <f>IFERROR(__xludf.DUMMYFUNCTION("""COMPUTED_VALUE"""),"SABUN LANTAI ")</f>
        <v>SABUN LANTAI </v>
      </c>
      <c r="B66" s="34">
        <f>IFERROR(__xludf.DUMMYFUNCTION("""COMPUTED_VALUE"""),5.0)</f>
        <v>5</v>
      </c>
      <c r="C66" s="34" t="str">
        <f>IFERROR(__xludf.DUMMYFUNCTION("""COMPUTED_VALUE"""),"G5")</f>
        <v>G5</v>
      </c>
      <c r="D66" s="34" t="str">
        <f>IFERROR(__xludf.DUMMYFUNCTION("""COMPUTED_VALUE"""),"A0065")</f>
        <v>A0065</v>
      </c>
      <c r="E66" s="35">
        <f>IFERROR(__xludf.DUMMYFUNCTION("""COMPUTED_VALUE"""),97680.0)</f>
        <v>97680</v>
      </c>
    </row>
    <row r="67">
      <c r="A67" s="34" t="str">
        <f>IFERROR(__xludf.DUMMYFUNCTION("""COMPUTED_VALUE"""),"SABUN CUCI PIRING ")</f>
        <v>SABUN CUCI PIRING </v>
      </c>
      <c r="B67" s="34">
        <f>IFERROR(__xludf.DUMMYFUNCTION("""COMPUTED_VALUE"""),5.0)</f>
        <v>5</v>
      </c>
      <c r="C67" s="34" t="str">
        <f>IFERROR(__xludf.DUMMYFUNCTION("""COMPUTED_VALUE"""),"G5")</f>
        <v>G5</v>
      </c>
      <c r="D67" s="34" t="str">
        <f>IFERROR(__xludf.DUMMYFUNCTION("""COMPUTED_VALUE"""),"A0066")</f>
        <v>A0066</v>
      </c>
      <c r="E67" s="35">
        <f>IFERROR(__xludf.DUMMYFUNCTION("""COMPUTED_VALUE"""),97680.0)</f>
        <v>97680</v>
      </c>
    </row>
    <row r="68">
      <c r="A68" s="34" t="str">
        <f>IFERROR(__xludf.DUMMYFUNCTION("""COMPUTED_VALUE"""),"SABUN CUCI TANGAN")</f>
        <v>SABUN CUCI TANGAN</v>
      </c>
      <c r="B68" s="34">
        <f>IFERROR(__xludf.DUMMYFUNCTION("""COMPUTED_VALUE"""),5.0)</f>
        <v>5</v>
      </c>
      <c r="C68" s="34" t="str">
        <f>IFERROR(__xludf.DUMMYFUNCTION("""COMPUTED_VALUE"""),"G5")</f>
        <v>G5</v>
      </c>
      <c r="D68" s="34" t="str">
        <f>IFERROR(__xludf.DUMMYFUNCTION("""COMPUTED_VALUE"""),"A0067")</f>
        <v>A0067</v>
      </c>
      <c r="E68" s="35">
        <f>IFERROR(__xludf.DUMMYFUNCTION("""COMPUTED_VALUE"""),97680.0)</f>
        <v>97680</v>
      </c>
    </row>
    <row r="69">
      <c r="A69" s="34" t="str">
        <f>IFERROR(__xludf.DUMMYFUNCTION("""COMPUTED_VALUE"""),"DETERJEN PEWANGI PAKAIAN")</f>
        <v>DETERJEN PEWANGI PAKAIAN</v>
      </c>
      <c r="B69" s="34">
        <f>IFERROR(__xludf.DUMMYFUNCTION("""COMPUTED_VALUE"""),5.0)</f>
        <v>5</v>
      </c>
      <c r="C69" s="34" t="str">
        <f>IFERROR(__xludf.DUMMYFUNCTION("""COMPUTED_VALUE"""),"G5")</f>
        <v>G5</v>
      </c>
      <c r="D69" s="34" t="str">
        <f>IFERROR(__xludf.DUMMYFUNCTION("""COMPUTED_VALUE"""),"A0068")</f>
        <v>A0068</v>
      </c>
      <c r="E69" s="35">
        <f>IFERROR(__xludf.DUMMYFUNCTION("""COMPUTED_VALUE"""),105450.0)</f>
        <v>105450</v>
      </c>
    </row>
    <row r="70">
      <c r="A70" s="34" t="str">
        <f>IFERROR(__xludf.DUMMYFUNCTION("""COMPUTED_VALUE"""),"DETERJEN CAIR")</f>
        <v>DETERJEN CAIR</v>
      </c>
      <c r="B70" s="34">
        <f>IFERROR(__xludf.DUMMYFUNCTION("""COMPUTED_VALUE"""),5.0)</f>
        <v>5</v>
      </c>
      <c r="C70" s="34" t="str">
        <f>IFERROR(__xludf.DUMMYFUNCTION("""COMPUTED_VALUE"""),"G5")</f>
        <v>G5</v>
      </c>
      <c r="D70" s="34" t="str">
        <f>IFERROR(__xludf.DUMMYFUNCTION("""COMPUTED_VALUE"""),"A0069")</f>
        <v>A0069</v>
      </c>
      <c r="E70" s="35">
        <f>IFERROR(__xludf.DUMMYFUNCTION("""COMPUTED_VALUE"""),58053.0)</f>
        <v>58053</v>
      </c>
    </row>
    <row r="71">
      <c r="A71" s="34" t="str">
        <f>IFERROR(__xludf.DUMMYFUNCTION("""COMPUTED_VALUE"""),"STICKY NOTE")</f>
        <v>STICKY NOTE</v>
      </c>
      <c r="B71" s="34">
        <f>IFERROR(__xludf.DUMMYFUNCTION("""COMPUTED_VALUE"""),3.0)</f>
        <v>3</v>
      </c>
      <c r="C71" s="34" t="str">
        <f>IFERROR(__xludf.DUMMYFUNCTION("""COMPUTED_VALUE"""),"G2 ATAS")</f>
        <v>G2 ATAS</v>
      </c>
      <c r="D71" s="34" t="str">
        <f>IFERROR(__xludf.DUMMYFUNCTION("""COMPUTED_VALUE"""),"A0070")</f>
        <v>A0070</v>
      </c>
      <c r="E71" s="35">
        <f>IFERROR(__xludf.DUMMYFUNCTION("""COMPUTED_VALUE"""),8991.0)</f>
        <v>8991</v>
      </c>
    </row>
    <row r="72">
      <c r="A72" s="34" t="str">
        <f>IFERROR(__xludf.DUMMYFUNCTION("""COMPUTED_VALUE"""),"BETADINE")</f>
        <v>BETADINE</v>
      </c>
      <c r="B72" s="34">
        <f>IFERROR(__xludf.DUMMYFUNCTION("""COMPUTED_VALUE"""),12.0)</f>
        <v>12</v>
      </c>
      <c r="C72" s="34" t="str">
        <f>IFERROR(__xludf.DUMMYFUNCTION("""COMPUTED_VALUE"""),"G2 ATAS")</f>
        <v>G2 ATAS</v>
      </c>
      <c r="D72" s="34" t="str">
        <f>IFERROR(__xludf.DUMMYFUNCTION("""COMPUTED_VALUE"""),"A0071")</f>
        <v>A0071</v>
      </c>
      <c r="E72" s="35">
        <f>IFERROR(__xludf.DUMMYFUNCTION("""COMPUTED_VALUE"""),14985.0)</f>
        <v>14985</v>
      </c>
    </row>
    <row r="73">
      <c r="A73" s="34" t="str">
        <f>IFERROR(__xludf.DUMMYFUNCTION("""COMPUTED_VALUE"""),"KAIN KASA")</f>
        <v>KAIN KASA</v>
      </c>
      <c r="B73" s="34">
        <f>IFERROR(__xludf.DUMMYFUNCTION("""COMPUTED_VALUE"""),12.0)</f>
        <v>12</v>
      </c>
      <c r="C73" s="34" t="str">
        <f>IFERROR(__xludf.DUMMYFUNCTION("""COMPUTED_VALUE"""),"G2 ATAS")</f>
        <v>G2 ATAS</v>
      </c>
      <c r="D73" s="34" t="str">
        <f>IFERROR(__xludf.DUMMYFUNCTION("""COMPUTED_VALUE"""),"A0072")</f>
        <v>A0072</v>
      </c>
      <c r="E73" s="35">
        <f>IFERROR(__xludf.DUMMYFUNCTION("""COMPUTED_VALUE"""),11100.0)</f>
        <v>11100</v>
      </c>
    </row>
    <row r="74">
      <c r="A74" s="34" t="str">
        <f>IFERROR(__xludf.DUMMYFUNCTION("""COMPUTED_VALUE"""),"OBAT MAAG")</f>
        <v>OBAT MAAG</v>
      </c>
      <c r="B74" s="34">
        <f>IFERROR(__xludf.DUMMYFUNCTION("""COMPUTED_VALUE"""),12.0)</f>
        <v>12</v>
      </c>
      <c r="C74" s="34" t="str">
        <f>IFERROR(__xludf.DUMMYFUNCTION("""COMPUTED_VALUE"""),"G2 ATAS")</f>
        <v>G2 ATAS</v>
      </c>
      <c r="D74" s="34" t="str">
        <f>IFERROR(__xludf.DUMMYFUNCTION("""COMPUTED_VALUE"""),"A0073")</f>
        <v>A0073</v>
      </c>
      <c r="E74" s="35">
        <f>IFERROR(__xludf.DUMMYFUNCTION("""COMPUTED_VALUE"""),18537.0)</f>
        <v>18537</v>
      </c>
    </row>
    <row r="75">
      <c r="A75" s="34" t="str">
        <f>IFERROR(__xludf.DUMMYFUNCTION("""COMPUTED_VALUE"""),"MINYAK KAYU PUTIH")</f>
        <v>MINYAK KAYU PUTIH</v>
      </c>
      <c r="B75" s="34">
        <f>IFERROR(__xludf.DUMMYFUNCTION("""COMPUTED_VALUE"""),10.0)</f>
        <v>10</v>
      </c>
      <c r="C75" s="34" t="str">
        <f>IFERROR(__xludf.DUMMYFUNCTION("""COMPUTED_VALUE"""),"G2 ATAS")</f>
        <v>G2 ATAS</v>
      </c>
      <c r="D75" s="34" t="str">
        <f>IFERROR(__xludf.DUMMYFUNCTION("""COMPUTED_VALUE"""),"A0074")</f>
        <v>A0074</v>
      </c>
      <c r="E75" s="35">
        <f>IFERROR(__xludf.DUMMYFUNCTION("""COMPUTED_VALUE"""),15818.0)</f>
        <v>15818</v>
      </c>
    </row>
    <row r="76">
      <c r="A76" s="34" t="str">
        <f>IFERROR(__xludf.DUMMYFUNCTION("""COMPUTED_VALUE"""),"HANDSPLAST WARNA WARNI")</f>
        <v>HANDSPLAST WARNA WARNI</v>
      </c>
      <c r="B76" s="34">
        <f>IFERROR(__xludf.DUMMYFUNCTION("""COMPUTED_VALUE"""),120.0)</f>
        <v>120</v>
      </c>
      <c r="C76" s="34" t="str">
        <f>IFERROR(__xludf.DUMMYFUNCTION("""COMPUTED_VALUE"""),"G2 ATAS")</f>
        <v>G2 ATAS</v>
      </c>
      <c r="D76" s="34" t="str">
        <f>IFERROR(__xludf.DUMMYFUNCTION("""COMPUTED_VALUE"""),"A0075")</f>
        <v>A0075</v>
      </c>
      <c r="E76" s="35">
        <f>IFERROR(__xludf.DUMMYFUNCTION("""COMPUTED_VALUE"""),13287.0)</f>
        <v>13287</v>
      </c>
    </row>
    <row r="77">
      <c r="A77" s="34" t="str">
        <f>IFERROR(__xludf.DUMMYFUNCTION("""COMPUTED_VALUE"""),"RIVANOL")</f>
        <v>RIVANOL</v>
      </c>
      <c r="B77" s="34">
        <f>IFERROR(__xludf.DUMMYFUNCTION("""COMPUTED_VALUE"""),12.0)</f>
        <v>12</v>
      </c>
      <c r="C77" s="34" t="str">
        <f>IFERROR(__xludf.DUMMYFUNCTION("""COMPUTED_VALUE"""),"G2 ATAS")</f>
        <v>G2 ATAS</v>
      </c>
      <c r="D77" s="34" t="str">
        <f>IFERROR(__xludf.DUMMYFUNCTION("""COMPUTED_VALUE"""),"A0076")</f>
        <v>A0076</v>
      </c>
      <c r="E77" s="35">
        <f>IFERROR(__xludf.DUMMYFUNCTION("""COMPUTED_VALUE"""),15818.0)</f>
        <v>15818</v>
      </c>
    </row>
    <row r="78">
      <c r="A78" s="34" t="str">
        <f>IFERROR(__xludf.DUMMYFUNCTION("""COMPUTED_VALUE"""),"ALKOHOL 70 % 100ML")</f>
        <v>ALKOHOL 70 % 100ML</v>
      </c>
      <c r="B78" s="34">
        <f>IFERROR(__xludf.DUMMYFUNCTION("""COMPUTED_VALUE"""),10.0)</f>
        <v>10</v>
      </c>
      <c r="C78" s="34" t="str">
        <f>IFERROR(__xludf.DUMMYFUNCTION("""COMPUTED_VALUE"""),"G2 ATAS")</f>
        <v>G2 ATAS</v>
      </c>
      <c r="D78" s="34" t="str">
        <f>IFERROR(__xludf.DUMMYFUNCTION("""COMPUTED_VALUE"""),"A0077")</f>
        <v>A0077</v>
      </c>
      <c r="E78" s="35">
        <f>IFERROR(__xludf.DUMMYFUNCTION("""COMPUTED_VALUE"""),10767.0)</f>
        <v>10767</v>
      </c>
    </row>
    <row r="79">
      <c r="A79" s="34" t="str">
        <f>IFERROR(__xludf.DUMMYFUNCTION("""COMPUTED_VALUE"""),"KAPAS PEMBALUT")</f>
        <v>KAPAS PEMBALUT</v>
      </c>
      <c r="B79" s="34">
        <f>IFERROR(__xludf.DUMMYFUNCTION("""COMPUTED_VALUE"""),12.0)</f>
        <v>12</v>
      </c>
      <c r="C79" s="34" t="str">
        <f>IFERROR(__xludf.DUMMYFUNCTION("""COMPUTED_VALUE"""),"G2 ATAS")</f>
        <v>G2 ATAS</v>
      </c>
      <c r="D79" s="34" t="str">
        <f>IFERROR(__xludf.DUMMYFUNCTION("""COMPUTED_VALUE"""),"A0078")</f>
        <v>A0078</v>
      </c>
      <c r="E79" s="35">
        <f>IFERROR(__xludf.DUMMYFUNCTION("""COMPUTED_VALUE"""),7881.0)</f>
        <v>7881</v>
      </c>
    </row>
    <row r="80">
      <c r="A80" s="34" t="str">
        <f>IFERROR(__xludf.DUMMYFUNCTION("""COMPUTED_VALUE"""),"SAPU LANTAI")</f>
        <v>SAPU LANTAI</v>
      </c>
      <c r="B80" s="34">
        <f>IFERROR(__xludf.DUMMYFUNCTION("""COMPUTED_VALUE"""),10.0)</f>
        <v>10</v>
      </c>
      <c r="C80" s="34" t="str">
        <f>IFERROR(__xludf.DUMMYFUNCTION("""COMPUTED_VALUE"""),"G5")</f>
        <v>G5</v>
      </c>
      <c r="D80" s="34" t="str">
        <f>IFERROR(__xludf.DUMMYFUNCTION("""COMPUTED_VALUE"""),"A0079")</f>
        <v>A0079</v>
      </c>
      <c r="E80" s="35">
        <f>IFERROR(__xludf.DUMMYFUNCTION("""COMPUTED_VALUE"""),28700.0)</f>
        <v>28700</v>
      </c>
    </row>
    <row r="81">
      <c r="A81" s="34" t="str">
        <f>IFERROR(__xludf.DUMMYFUNCTION("""COMPUTED_VALUE"""),"SAPU LOBBY")</f>
        <v>SAPU LOBBY</v>
      </c>
      <c r="B81" s="34">
        <f>IFERROR(__xludf.DUMMYFUNCTION("""COMPUTED_VALUE"""),10.0)</f>
        <v>10</v>
      </c>
      <c r="C81" s="34" t="str">
        <f>IFERROR(__xludf.DUMMYFUNCTION("""COMPUTED_VALUE"""),"G5")</f>
        <v>G5</v>
      </c>
      <c r="D81" s="34" t="str">
        <f>IFERROR(__xludf.DUMMYFUNCTION("""COMPUTED_VALUE"""),"A0080")</f>
        <v>A0080</v>
      </c>
      <c r="E81" s="35">
        <f>IFERROR(__xludf.DUMMYFUNCTION("""COMPUTED_VALUE"""),276950.0)</f>
        <v>276950</v>
      </c>
    </row>
    <row r="82">
      <c r="A82" s="34" t="str">
        <f>IFERROR(__xludf.DUMMYFUNCTION("""COMPUTED_VALUE"""),"SAPU LIDI")</f>
        <v>SAPU LIDI</v>
      </c>
      <c r="B82" s="34">
        <f>IFERROR(__xludf.DUMMYFUNCTION("""COMPUTED_VALUE"""),10.0)</f>
        <v>10</v>
      </c>
      <c r="C82" s="34" t="str">
        <f>IFERROR(__xludf.DUMMYFUNCTION("""COMPUTED_VALUE"""),"G5")</f>
        <v>G5</v>
      </c>
      <c r="D82" s="34" t="str">
        <f>IFERROR(__xludf.DUMMYFUNCTION("""COMPUTED_VALUE"""),"A0081")</f>
        <v>A0081</v>
      </c>
      <c r="E82" s="35">
        <f>IFERROR(__xludf.DUMMYFUNCTION("""COMPUTED_VALUE"""),64000.0)</f>
        <v>64000</v>
      </c>
    </row>
    <row r="83">
      <c r="A83" s="34" t="str">
        <f>IFERROR(__xludf.DUMMYFUNCTION("""COMPUTED_VALUE"""),"SAPU SAWANG")</f>
        <v>SAPU SAWANG</v>
      </c>
      <c r="B83" s="34">
        <f>IFERROR(__xludf.DUMMYFUNCTION("""COMPUTED_VALUE"""),10.0)</f>
        <v>10</v>
      </c>
      <c r="C83" s="34" t="str">
        <f>IFERROR(__xludf.DUMMYFUNCTION("""COMPUTED_VALUE"""),"G5")</f>
        <v>G5</v>
      </c>
      <c r="D83" s="34" t="str">
        <f>IFERROR(__xludf.DUMMYFUNCTION("""COMPUTED_VALUE"""),"A0082")</f>
        <v>A0082</v>
      </c>
      <c r="E83" s="35">
        <f>IFERROR(__xludf.DUMMYFUNCTION("""COMPUTED_VALUE"""),69600.0)</f>
        <v>69600</v>
      </c>
    </row>
    <row r="84">
      <c r="A84" s="34" t="str">
        <f>IFERROR(__xludf.DUMMYFUNCTION("""COMPUTED_VALUE"""),"PENGKI")</f>
        <v>PENGKI</v>
      </c>
      <c r="B84" s="34">
        <f>IFERROR(__xludf.DUMMYFUNCTION("""COMPUTED_VALUE"""),10.0)</f>
        <v>10</v>
      </c>
      <c r="C84" s="34" t="str">
        <f>IFERROR(__xludf.DUMMYFUNCTION("""COMPUTED_VALUE"""),"G5")</f>
        <v>G5</v>
      </c>
      <c r="D84" s="34" t="str">
        <f>IFERROR(__xludf.DUMMYFUNCTION("""COMPUTED_VALUE"""),"A0083")</f>
        <v>A0083</v>
      </c>
      <c r="E84" s="35">
        <f>IFERROR(__xludf.DUMMYFUNCTION("""COMPUTED_VALUE"""),49728.0)</f>
        <v>49728</v>
      </c>
    </row>
    <row r="85">
      <c r="A85" s="34" t="str">
        <f>IFERROR(__xludf.DUMMYFUNCTION("""COMPUTED_VALUE"""),"PEL - PELAN")</f>
        <v>PEL - PELAN</v>
      </c>
      <c r="B85" s="34">
        <f>IFERROR(__xludf.DUMMYFUNCTION("""COMPUTED_VALUE"""),10.0)</f>
        <v>10</v>
      </c>
      <c r="C85" s="34" t="str">
        <f>IFERROR(__xludf.DUMMYFUNCTION("""COMPUTED_VALUE"""),"G5")</f>
        <v>G5</v>
      </c>
      <c r="D85" s="34" t="str">
        <f>IFERROR(__xludf.DUMMYFUNCTION("""COMPUTED_VALUE"""),"A0084")</f>
        <v>A0084</v>
      </c>
      <c r="E85" s="35">
        <f>IFERROR(__xludf.DUMMYFUNCTION("""COMPUTED_VALUE"""),31635.0)</f>
        <v>31635</v>
      </c>
    </row>
    <row r="86">
      <c r="A86" s="34" t="str">
        <f>IFERROR(__xludf.DUMMYFUNCTION("""COMPUTED_VALUE"""),"EMBER")</f>
        <v>EMBER</v>
      </c>
      <c r="B86" s="34">
        <f>IFERROR(__xludf.DUMMYFUNCTION("""COMPUTED_VALUE"""),5.0)</f>
        <v>5</v>
      </c>
      <c r="C86" s="34" t="str">
        <f>IFERROR(__xludf.DUMMYFUNCTION("""COMPUTED_VALUE"""),"G5")</f>
        <v>G5</v>
      </c>
      <c r="D86" s="34" t="str">
        <f>IFERROR(__xludf.DUMMYFUNCTION("""COMPUTED_VALUE"""),"A0085")</f>
        <v>A0085</v>
      </c>
      <c r="E86" s="35">
        <f>IFERROR(__xludf.DUMMYFUNCTION("""COMPUTED_VALUE"""),10500.0)</f>
        <v>10500</v>
      </c>
    </row>
    <row r="87">
      <c r="A87" s="34" t="str">
        <f>IFERROR(__xludf.DUMMYFUNCTION("""COMPUTED_VALUE"""),"GAYUNG")</f>
        <v>GAYUNG</v>
      </c>
      <c r="B87" s="34">
        <f>IFERROR(__xludf.DUMMYFUNCTION("""COMPUTED_VALUE"""),5.0)</f>
        <v>5</v>
      </c>
      <c r="C87" s="34" t="str">
        <f>IFERROR(__xludf.DUMMYFUNCTION("""COMPUTED_VALUE"""),"G6")</f>
        <v>G6</v>
      </c>
      <c r="D87" s="34" t="str">
        <f>IFERROR(__xludf.DUMMYFUNCTION("""COMPUTED_VALUE"""),"A0086")</f>
        <v>A0086</v>
      </c>
      <c r="E87" s="35"/>
    </row>
    <row r="88">
      <c r="A88" s="34" t="str">
        <f>IFERROR(__xludf.DUMMYFUNCTION("""COMPUTED_VALUE"""),"GANTUNGAN SAPU 5 SLOT")</f>
        <v>GANTUNGAN SAPU 5 SLOT</v>
      </c>
      <c r="B88" s="34">
        <f>IFERROR(__xludf.DUMMYFUNCTION("""COMPUTED_VALUE"""),5.0)</f>
        <v>5</v>
      </c>
      <c r="C88" s="34" t="str">
        <f>IFERROR(__xludf.DUMMYFUNCTION("""COMPUTED_VALUE"""),"G5")</f>
        <v>G5</v>
      </c>
      <c r="D88" s="34" t="str">
        <f>IFERROR(__xludf.DUMMYFUNCTION("""COMPUTED_VALUE"""),"A0087")</f>
        <v>A0087</v>
      </c>
      <c r="E88" s="35">
        <f>IFERROR(__xludf.DUMMYFUNCTION("""COMPUTED_VALUE"""),111000.0)</f>
        <v>111000</v>
      </c>
    </row>
    <row r="89">
      <c r="A89" s="34" t="str">
        <f>IFERROR(__xludf.DUMMYFUNCTION("""COMPUTED_VALUE"""),"PAYUNG")</f>
        <v>PAYUNG</v>
      </c>
      <c r="B89" s="34">
        <f>IFERROR(__xludf.DUMMYFUNCTION("""COMPUTED_VALUE"""),5.0)</f>
        <v>5</v>
      </c>
      <c r="C89" s="34" t="str">
        <f>IFERROR(__xludf.DUMMYFUNCTION("""COMPUTED_VALUE"""),"G5")</f>
        <v>G5</v>
      </c>
      <c r="D89" s="34" t="str">
        <f>IFERROR(__xludf.DUMMYFUNCTION("""COMPUTED_VALUE"""),"A0088")</f>
        <v>A0088</v>
      </c>
      <c r="E89" s="35">
        <f>IFERROR(__xludf.DUMMYFUNCTION("""COMPUTED_VALUE"""),59052.0)</f>
        <v>59052</v>
      </c>
    </row>
    <row r="90">
      <c r="A90" s="34" t="str">
        <f>IFERROR(__xludf.DUMMYFUNCTION("""COMPUTED_VALUE"""),"PLASTIK SAMPAH")</f>
        <v>PLASTIK SAMPAH</v>
      </c>
      <c r="B90" s="34">
        <f>IFERROR(__xludf.DUMMYFUNCTION("""COMPUTED_VALUE"""),10.0)</f>
        <v>10</v>
      </c>
      <c r="C90" s="34" t="str">
        <f>IFERROR(__xludf.DUMMYFUNCTION("""COMPUTED_VALUE"""),"G5")</f>
        <v>G5</v>
      </c>
      <c r="D90" s="34" t="str">
        <f>IFERROR(__xludf.DUMMYFUNCTION("""COMPUTED_VALUE"""),"A0089")</f>
        <v>A0089</v>
      </c>
      <c r="E90" s="35">
        <f>IFERROR(__xludf.DUMMYFUNCTION("""COMPUTED_VALUE"""),29637.0)</f>
        <v>29637</v>
      </c>
    </row>
    <row r="91">
      <c r="A91" s="34" t="str">
        <f>IFERROR(__xludf.DUMMYFUNCTION("""COMPUTED_VALUE"""),"ISI PULPEN DELI")</f>
        <v>ISI PULPEN DELI</v>
      </c>
      <c r="B91" s="34">
        <f>IFERROR(__xludf.DUMMYFUNCTION("""COMPUTED_VALUE"""),30.0)</f>
        <v>30</v>
      </c>
      <c r="C91" s="34" t="str">
        <f>IFERROR(__xludf.DUMMYFUNCTION("""COMPUTED_VALUE"""),"G5")</f>
        <v>G5</v>
      </c>
      <c r="D91" s="34" t="str">
        <f>IFERROR(__xludf.DUMMYFUNCTION("""COMPUTED_VALUE"""),"A0090")</f>
        <v>A0090</v>
      </c>
      <c r="E91" s="35">
        <f>IFERROR(__xludf.DUMMYFUNCTION("""COMPUTED_VALUE"""),4995.0)</f>
        <v>4995</v>
      </c>
    </row>
    <row r="92">
      <c r="A92" s="34" t="str">
        <f>IFERROR(__xludf.DUMMYFUNCTION("""COMPUTED_VALUE"""),"KOTAK TISSUE")</f>
        <v>KOTAK TISSUE</v>
      </c>
      <c r="B92" s="34">
        <f>IFERROR(__xludf.DUMMYFUNCTION("""COMPUTED_VALUE"""),5.0)</f>
        <v>5</v>
      </c>
      <c r="C92" s="34" t="str">
        <f>IFERROR(__xludf.DUMMYFUNCTION("""COMPUTED_VALUE"""),"G5")</f>
        <v>G5</v>
      </c>
      <c r="D92" s="34" t="str">
        <f>IFERROR(__xludf.DUMMYFUNCTION("""COMPUTED_VALUE"""),"A0091")</f>
        <v>A0091</v>
      </c>
      <c r="E92" s="35">
        <f>IFERROR(__xludf.DUMMYFUNCTION("""COMPUTED_VALUE"""),12377.0)</f>
        <v>12377</v>
      </c>
    </row>
    <row r="93">
      <c r="A93" s="34" t="str">
        <f>IFERROR(__xludf.DUMMYFUNCTION("""COMPUTED_VALUE"""),"KOTAK OBAT")</f>
        <v>KOTAK OBAT</v>
      </c>
      <c r="B93" s="34">
        <f>IFERROR(__xludf.DUMMYFUNCTION("""COMPUTED_VALUE"""),5.0)</f>
        <v>5</v>
      </c>
      <c r="C93" s="34" t="str">
        <f>IFERROR(__xludf.DUMMYFUNCTION("""COMPUTED_VALUE"""),"G6")</f>
        <v>G6</v>
      </c>
      <c r="D93" s="34" t="str">
        <f>IFERROR(__xludf.DUMMYFUNCTION("""COMPUTED_VALUE"""),"A0092")</f>
        <v>A0092</v>
      </c>
      <c r="E93" s="35">
        <f>IFERROR(__xludf.DUMMYFUNCTION("""COMPUTED_VALUE"""),110000.0)</f>
        <v>110000</v>
      </c>
    </row>
    <row r="94">
      <c r="A94" s="34" t="str">
        <f>IFERROR(__xludf.DUMMYFUNCTION("""COMPUTED_VALUE"""),"BISNIS FILE ")</f>
        <v>BISNIS FILE </v>
      </c>
      <c r="B94" s="34">
        <f>IFERROR(__xludf.DUMMYFUNCTION("""COMPUTED_VALUE"""),10.0)</f>
        <v>10</v>
      </c>
      <c r="C94" s="34" t="str">
        <f>IFERROR(__xludf.DUMMYFUNCTION("""COMPUTED_VALUE"""),"G2 ATAS")</f>
        <v>G2 ATAS</v>
      </c>
      <c r="D94" s="34" t="str">
        <f>IFERROR(__xludf.DUMMYFUNCTION("""COMPUTED_VALUE"""),"A0092")</f>
        <v>A0092</v>
      </c>
      <c r="E94" s="35">
        <f>IFERROR(__xludf.DUMMYFUNCTION("""COMPUTED_VALUE"""),26550.0)</f>
        <v>26550</v>
      </c>
    </row>
    <row r="95">
      <c r="A95" s="34" t="str">
        <f>IFERROR(__xludf.DUMMYFUNCTION("""COMPUTED_VALUE"""),"TRIGONAL")</f>
        <v>TRIGONAL</v>
      </c>
      <c r="B95" s="34">
        <f>IFERROR(__xludf.DUMMYFUNCTION("""COMPUTED_VALUE"""),3.0)</f>
        <v>3</v>
      </c>
      <c r="C95" s="34" t="str">
        <f>IFERROR(__xludf.DUMMYFUNCTION("""COMPUTED_VALUE"""),"G2 ATAS")</f>
        <v>G2 ATAS</v>
      </c>
      <c r="D95" s="34" t="str">
        <f>IFERROR(__xludf.DUMMYFUNCTION("""COMPUTED_VALUE"""),"A0093")</f>
        <v>A0093</v>
      </c>
      <c r="E95" s="35">
        <f>IFERROR(__xludf.DUMMYFUNCTION("""COMPUTED_VALUE"""),2500.0)</f>
        <v>2500</v>
      </c>
    </row>
    <row r="96">
      <c r="A96" s="34" t="str">
        <f>IFERROR(__xludf.DUMMYFUNCTION("""COMPUTED_VALUE"""),"BIOPLASENTO")</f>
        <v>BIOPLASENTO</v>
      </c>
      <c r="B96" s="34">
        <f>IFERROR(__xludf.DUMMYFUNCTION("""COMPUTED_VALUE"""),10.0)</f>
        <v>10</v>
      </c>
      <c r="C96" s="34" t="str">
        <f>IFERROR(__xludf.DUMMYFUNCTION("""COMPUTED_VALUE"""),"G2 ATAS")</f>
        <v>G2 ATAS</v>
      </c>
      <c r="D96" s="34" t="str">
        <f>IFERROR(__xludf.DUMMYFUNCTION("""COMPUTED_VALUE"""),"A0094")</f>
        <v>A0094</v>
      </c>
      <c r="E96" s="35">
        <f>IFERROR(__xludf.DUMMYFUNCTION("""COMPUTED_VALUE"""),33000.0)</f>
        <v>33000</v>
      </c>
    </row>
    <row r="97">
      <c r="A97" s="34" t="str">
        <f>IFERROR(__xludf.DUMMYFUNCTION("""COMPUTED_VALUE"""),"PARACETAMOL")</f>
        <v>PARACETAMOL</v>
      </c>
      <c r="B97" s="34">
        <f>IFERROR(__xludf.DUMMYFUNCTION("""COMPUTED_VALUE"""),10.0)</f>
        <v>10</v>
      </c>
      <c r="C97" s="34" t="str">
        <f>IFERROR(__xludf.DUMMYFUNCTION("""COMPUTED_VALUE"""),"G2 ATAS")</f>
        <v>G2 ATAS</v>
      </c>
      <c r="D97" s="34" t="str">
        <f>IFERROR(__xludf.DUMMYFUNCTION("""COMPUTED_VALUE"""),"A0095")</f>
        <v>A0095</v>
      </c>
      <c r="E97" s="35">
        <f>IFERROR(__xludf.DUMMYFUNCTION("""COMPUTED_VALUE"""),1702.0)</f>
        <v>1702</v>
      </c>
    </row>
    <row r="98">
      <c r="A98" s="34" t="str">
        <f>IFERROR(__xludf.DUMMYFUNCTION("""COMPUTED_VALUE"""),"OBAT MATA Y-RINS")</f>
        <v>OBAT MATA Y-RINS</v>
      </c>
      <c r="B98" s="34">
        <f>IFERROR(__xludf.DUMMYFUNCTION("""COMPUTED_VALUE"""),10.0)</f>
        <v>10</v>
      </c>
      <c r="C98" s="34" t="str">
        <f>IFERROR(__xludf.DUMMYFUNCTION("""COMPUTED_VALUE"""),"G2 ATAS")</f>
        <v>G2 ATAS</v>
      </c>
      <c r="D98" s="34" t="str">
        <f>IFERROR(__xludf.DUMMYFUNCTION("""COMPUTED_VALUE"""),"A0096")</f>
        <v>A0096</v>
      </c>
      <c r="E98" s="35">
        <f>IFERROR(__xludf.DUMMYFUNCTION("""COMPUTED_VALUE"""),31864.0)</f>
        <v>31864</v>
      </c>
    </row>
    <row r="99">
      <c r="A99" s="34" t="str">
        <f>IFERROR(__xludf.DUMMYFUNCTION("""COMPUTED_VALUE"""),"KWITANSI")</f>
        <v>KWITANSI</v>
      </c>
      <c r="B99" s="34">
        <f>IFERROR(__xludf.DUMMYFUNCTION("""COMPUTED_VALUE"""),20.0)</f>
        <v>20</v>
      </c>
      <c r="C99" s="34" t="str">
        <f>IFERROR(__xludf.DUMMYFUNCTION("""COMPUTED_VALUE"""),"G2 ATAS")</f>
        <v>G2 ATAS</v>
      </c>
      <c r="D99" s="34" t="str">
        <f>IFERROR(__xludf.DUMMYFUNCTION("""COMPUTED_VALUE"""),"A0097")</f>
        <v>A0097</v>
      </c>
      <c r="E99" s="35">
        <f>IFERROR(__xludf.DUMMYFUNCTION("""COMPUTED_VALUE"""),2600.0)</f>
        <v>2600</v>
      </c>
    </row>
    <row r="100">
      <c r="A100" s="34" t="str">
        <f>IFERROR(__xludf.DUMMYFUNCTION("""COMPUTED_VALUE"""),"BUKU TULIS")</f>
        <v>BUKU TULIS</v>
      </c>
      <c r="B100" s="34">
        <f>IFERROR(__xludf.DUMMYFUNCTION("""COMPUTED_VALUE"""),12.0)</f>
        <v>12</v>
      </c>
      <c r="C100" s="34" t="str">
        <f>IFERROR(__xludf.DUMMYFUNCTION("""COMPUTED_VALUE"""),"G2 ATAS")</f>
        <v>G2 ATAS</v>
      </c>
      <c r="D100" s="34" t="str">
        <f>IFERROR(__xludf.DUMMYFUNCTION("""COMPUTED_VALUE"""),"A0098")</f>
        <v>A0098</v>
      </c>
      <c r="E100" s="35">
        <f>IFERROR(__xludf.DUMMYFUNCTION("""COMPUTED_VALUE"""),4241.666666666667)</f>
        <v>4241.666667</v>
      </c>
    </row>
    <row r="101">
      <c r="A101" s="34" t="str">
        <f>IFERROR(__xludf.DUMMYFUNCTION("""COMPUTED_VALUE"""),"BUKU FOLIO")</f>
        <v>BUKU FOLIO</v>
      </c>
      <c r="B101" s="34">
        <f>IFERROR(__xludf.DUMMYFUNCTION("""COMPUTED_VALUE"""),12.0)</f>
        <v>12</v>
      </c>
      <c r="C101" s="34" t="str">
        <f>IFERROR(__xludf.DUMMYFUNCTION("""COMPUTED_VALUE"""),"G2 ATAS")</f>
        <v>G2 ATAS</v>
      </c>
      <c r="D101" s="34" t="str">
        <f>IFERROR(__xludf.DUMMYFUNCTION("""COMPUTED_VALUE"""),"A0099")</f>
        <v>A0099</v>
      </c>
      <c r="E101" s="35">
        <f>IFERROR(__xludf.DUMMYFUNCTION("""COMPUTED_VALUE"""),25000.0)</f>
        <v>25000</v>
      </c>
    </row>
    <row r="102">
      <c r="A102" s="34" t="str">
        <f>IFERROR(__xludf.DUMMYFUNCTION("""COMPUTED_VALUE"""),"NOTA")</f>
        <v>NOTA</v>
      </c>
      <c r="B102" s="34">
        <f>IFERROR(__xludf.DUMMYFUNCTION("""COMPUTED_VALUE"""),20.0)</f>
        <v>20</v>
      </c>
      <c r="C102" s="34" t="str">
        <f>IFERROR(__xludf.DUMMYFUNCTION("""COMPUTED_VALUE"""),"G2 ATAS")</f>
        <v>G2 ATAS</v>
      </c>
      <c r="D102" s="34" t="str">
        <f>IFERROR(__xludf.DUMMYFUNCTION("""COMPUTED_VALUE"""),"A0100")</f>
        <v>A0100</v>
      </c>
      <c r="E102" s="35">
        <f>IFERROR(__xludf.DUMMYFUNCTION("""COMPUTED_VALUE"""),3130.0)</f>
        <v>3130</v>
      </c>
    </row>
    <row r="103">
      <c r="A103" s="34" t="str">
        <f>IFERROR(__xludf.DUMMYFUNCTION("""COMPUTED_VALUE"""),"SEMPROTAN AIR")</f>
        <v>SEMPROTAN AIR</v>
      </c>
      <c r="B103" s="34">
        <f>IFERROR(__xludf.DUMMYFUNCTION("""COMPUTED_VALUE"""),2.0)</f>
        <v>2</v>
      </c>
      <c r="C103" s="34" t="str">
        <f>IFERROR(__xludf.DUMMYFUNCTION("""COMPUTED_VALUE"""),"G5")</f>
        <v>G5</v>
      </c>
      <c r="D103" s="34" t="str">
        <f>IFERROR(__xludf.DUMMYFUNCTION("""COMPUTED_VALUE"""),"A0101")</f>
        <v>A0101</v>
      </c>
      <c r="E103" s="35">
        <f>IFERROR(__xludf.DUMMYFUNCTION("""COMPUTED_VALUE"""),134310.0)</f>
        <v>134310</v>
      </c>
    </row>
    <row r="104">
      <c r="A104" s="34" t="str">
        <f>IFERROR(__xludf.DUMMYFUNCTION("""COMPUTED_VALUE"""),"EM4 PERTANIAN")</f>
        <v>EM4 PERTANIAN</v>
      </c>
      <c r="B104" s="34">
        <f>IFERROR(__xludf.DUMMYFUNCTION("""COMPUTED_VALUE"""),2.0)</f>
        <v>2</v>
      </c>
      <c r="C104" s="34" t="str">
        <f>IFERROR(__xludf.DUMMYFUNCTION("""COMPUTED_VALUE"""),"G5")</f>
        <v>G5</v>
      </c>
      <c r="D104" s="34" t="str">
        <f>IFERROR(__xludf.DUMMYFUNCTION("""COMPUTED_VALUE"""),"A0102")</f>
        <v>A0102</v>
      </c>
      <c r="E104" s="35">
        <f>IFERROR(__xludf.DUMMYFUNCTION("""COMPUTED_VALUE"""),53280.0)</f>
        <v>53280</v>
      </c>
    </row>
    <row r="105">
      <c r="A105" s="34" t="str">
        <f>IFERROR(__xludf.DUMMYFUNCTION("""COMPUTED_VALUE"""),"EM4 LIMBAH ORGANIK")</f>
        <v>EM4 LIMBAH ORGANIK</v>
      </c>
      <c r="B105" s="34">
        <f>IFERROR(__xludf.DUMMYFUNCTION("""COMPUTED_VALUE"""),2.0)</f>
        <v>2</v>
      </c>
      <c r="C105" s="34" t="str">
        <f>IFERROR(__xludf.DUMMYFUNCTION("""COMPUTED_VALUE"""),"G5")</f>
        <v>G5</v>
      </c>
      <c r="D105" s="34" t="str">
        <f>IFERROR(__xludf.DUMMYFUNCTION("""COMPUTED_VALUE"""),"A0103")</f>
        <v>A0103</v>
      </c>
      <c r="E105" s="35">
        <f>IFERROR(__xludf.DUMMYFUNCTION("""COMPUTED_VALUE"""),53280.0)</f>
        <v>53280</v>
      </c>
    </row>
    <row r="106">
      <c r="A106" s="34" t="str">
        <f>IFERROR(__xludf.DUMMYFUNCTION("""COMPUTED_VALUE"""),"BAYGON")</f>
        <v>BAYGON</v>
      </c>
      <c r="B106" s="34">
        <f>IFERROR(__xludf.DUMMYFUNCTION("""COMPUTED_VALUE"""),3.0)</f>
        <v>3</v>
      </c>
      <c r="C106" s="34" t="str">
        <f>IFERROR(__xludf.DUMMYFUNCTION("""COMPUTED_VALUE"""),"G5")</f>
        <v>G5</v>
      </c>
      <c r="D106" s="34" t="str">
        <f>IFERROR(__xludf.DUMMYFUNCTION("""COMPUTED_VALUE"""),"A0104")</f>
        <v>A0104</v>
      </c>
      <c r="E106" s="35">
        <f>IFERROR(__xludf.DUMMYFUNCTION("""COMPUTED_VALUE"""),263625.0)</f>
        <v>263625</v>
      </c>
    </row>
    <row r="107">
      <c r="A107" s="34" t="str">
        <f>IFERROR(__xludf.DUMMYFUNCTION("""COMPUTED_VALUE"""),"KUAS ROLL BULU KECIL 4INC")</f>
        <v>KUAS ROLL BULU KECIL 4INC</v>
      </c>
      <c r="B107" s="34">
        <f>IFERROR(__xludf.DUMMYFUNCTION("""COMPUTED_VALUE"""),7.0)</f>
        <v>7</v>
      </c>
      <c r="C107" s="34" t="str">
        <f>IFERROR(__xludf.DUMMYFUNCTION("""COMPUTED_VALUE"""),"G5")</f>
        <v>G5</v>
      </c>
      <c r="D107" s="34" t="str">
        <f>IFERROR(__xludf.DUMMYFUNCTION("""COMPUTED_VALUE"""),"A0105")</f>
        <v>A0105</v>
      </c>
      <c r="E107" s="35">
        <f>IFERROR(__xludf.DUMMYFUNCTION("""COMPUTED_VALUE"""),5106.0)</f>
        <v>5106</v>
      </c>
    </row>
    <row r="108">
      <c r="A108" s="34" t="str">
        <f>IFERROR(__xludf.DUMMYFUNCTION("""COMPUTED_VALUE"""),"KUAS ROLL BULU BESAR 9INC")</f>
        <v>KUAS ROLL BULU BESAR 9INC</v>
      </c>
      <c r="B108" s="34">
        <f>IFERROR(__xludf.DUMMYFUNCTION("""COMPUTED_VALUE"""),7.0)</f>
        <v>7</v>
      </c>
      <c r="C108" s="34" t="str">
        <f>IFERROR(__xludf.DUMMYFUNCTION("""COMPUTED_VALUE"""),"G5")</f>
        <v>G5</v>
      </c>
      <c r="D108" s="34" t="str">
        <f>IFERROR(__xludf.DUMMYFUNCTION("""COMPUTED_VALUE"""),"A0106")</f>
        <v>A0106</v>
      </c>
      <c r="E108" s="35">
        <f>IFERROR(__xludf.DUMMYFUNCTION("""COMPUTED_VALUE"""),15485.0)</f>
        <v>15485</v>
      </c>
    </row>
    <row r="109">
      <c r="A109" s="34" t="str">
        <f>IFERROR(__xludf.DUMMYFUNCTION("""COMPUTED_VALUE"""),"KUAS UKURAN 2 INC")</f>
        <v>KUAS UKURAN 2 INC</v>
      </c>
      <c r="B109" s="34">
        <f>IFERROR(__xludf.DUMMYFUNCTION("""COMPUTED_VALUE"""),7.0)</f>
        <v>7</v>
      </c>
      <c r="C109" s="34" t="str">
        <f>IFERROR(__xludf.DUMMYFUNCTION("""COMPUTED_VALUE"""),"G5")</f>
        <v>G5</v>
      </c>
      <c r="D109" s="34" t="str">
        <f>IFERROR(__xludf.DUMMYFUNCTION("""COMPUTED_VALUE"""),"A0107")</f>
        <v>A0107</v>
      </c>
      <c r="E109" s="35">
        <f>IFERROR(__xludf.DUMMYFUNCTION("""COMPUTED_VALUE"""),14097.0)</f>
        <v>14097</v>
      </c>
    </row>
    <row r="110">
      <c r="A110" s="34" t="str">
        <f>IFERROR(__xludf.DUMMYFUNCTION("""COMPUTED_VALUE"""),"KUAS UKURAN 3 INC")</f>
        <v>KUAS UKURAN 3 INC</v>
      </c>
      <c r="B110" s="34">
        <f>IFERROR(__xludf.DUMMYFUNCTION("""COMPUTED_VALUE"""),7.0)</f>
        <v>7</v>
      </c>
      <c r="C110" s="34" t="str">
        <f>IFERROR(__xludf.DUMMYFUNCTION("""COMPUTED_VALUE"""),"G5")</f>
        <v>G5</v>
      </c>
      <c r="D110" s="34" t="str">
        <f>IFERROR(__xludf.DUMMYFUNCTION("""COMPUTED_VALUE"""),"A0108")</f>
        <v>A0108</v>
      </c>
      <c r="E110" s="35">
        <f>IFERROR(__xludf.DUMMYFUNCTION("""COMPUTED_VALUE"""),20646.0)</f>
        <v>20646</v>
      </c>
    </row>
    <row r="111">
      <c r="A111" s="34" t="str">
        <f>IFERROR(__xludf.DUMMYFUNCTION("""COMPUTED_VALUE"""),"CAT TEMBOK ARIES ( WHITE) 25 KG")</f>
        <v>CAT TEMBOK ARIES ( WHITE) 25 KG</v>
      </c>
      <c r="B111" s="34">
        <f>IFERROR(__xludf.DUMMYFUNCTION("""COMPUTED_VALUE"""),7.0)</f>
        <v>7</v>
      </c>
      <c r="C111" s="34" t="str">
        <f>IFERROR(__xludf.DUMMYFUNCTION("""COMPUTED_VALUE"""),"G5")</f>
        <v>G5</v>
      </c>
      <c r="D111" s="34" t="str">
        <f>IFERROR(__xludf.DUMMYFUNCTION("""COMPUTED_VALUE"""),"A0109")</f>
        <v>A0109</v>
      </c>
      <c r="E111" s="35">
        <f>IFERROR(__xludf.DUMMYFUNCTION("""COMPUTED_VALUE"""),270840.0)</f>
        <v>270840</v>
      </c>
    </row>
    <row r="112">
      <c r="A112" s="34" t="str">
        <f>IFERROR(__xludf.DUMMYFUNCTION("""COMPUTED_VALUE"""),"CAT TEMBOK ARIES ( WHITE) 5 KG")</f>
        <v>CAT TEMBOK ARIES ( WHITE) 5 KG</v>
      </c>
      <c r="B112" s="34">
        <f>IFERROR(__xludf.DUMMYFUNCTION("""COMPUTED_VALUE"""),7.0)</f>
        <v>7</v>
      </c>
      <c r="C112" s="34" t="str">
        <f>IFERROR(__xludf.DUMMYFUNCTION("""COMPUTED_VALUE"""),"G5")</f>
        <v>G5</v>
      </c>
      <c r="D112" s="34" t="str">
        <f>IFERROR(__xludf.DUMMYFUNCTION("""COMPUTED_VALUE"""),"A0110")</f>
        <v>A0110</v>
      </c>
      <c r="E112" s="35">
        <f>IFERROR(__xludf.DUMMYFUNCTION("""COMPUTED_VALUE"""),70000.0)</f>
        <v>70000</v>
      </c>
    </row>
    <row r="113">
      <c r="A113" s="34" t="str">
        <f>IFERROR(__xludf.DUMMYFUNCTION("""COMPUTED_VALUE"""),"CAT ANTI KARAT")</f>
        <v>CAT ANTI KARAT</v>
      </c>
      <c r="B113" s="34">
        <f>IFERROR(__xludf.DUMMYFUNCTION("""COMPUTED_VALUE"""),1.0)</f>
        <v>1</v>
      </c>
      <c r="C113" s="34" t="str">
        <f>IFERROR(__xludf.DUMMYFUNCTION("""COMPUTED_VALUE"""),"G5")</f>
        <v>G5</v>
      </c>
      <c r="D113" s="34" t="str">
        <f>IFERROR(__xludf.DUMMYFUNCTION("""COMPUTED_VALUE"""),"A0111")</f>
        <v>A0111</v>
      </c>
      <c r="E113" s="35">
        <f>IFERROR(__xludf.DUMMYFUNCTION("""COMPUTED_VALUE"""),119880.0)</f>
        <v>119880</v>
      </c>
    </row>
    <row r="114">
      <c r="A114" s="34" t="str">
        <f>IFERROR(__xludf.DUMMYFUNCTION("""COMPUTED_VALUE"""),"FLASHBAND")</f>
        <v>FLASHBAND</v>
      </c>
      <c r="B114" s="34">
        <f>IFERROR(__xludf.DUMMYFUNCTION("""COMPUTED_VALUE"""),7.0)</f>
        <v>7</v>
      </c>
      <c r="C114" s="34" t="str">
        <f>IFERROR(__xludf.DUMMYFUNCTION("""COMPUTED_VALUE"""),"G5")</f>
        <v>G5</v>
      </c>
      <c r="D114" s="34" t="str">
        <f>IFERROR(__xludf.DUMMYFUNCTION("""COMPUTED_VALUE"""),"A0112")</f>
        <v>A0112</v>
      </c>
      <c r="E114" s="35">
        <f>IFERROR(__xludf.DUMMYFUNCTION("""COMPUTED_VALUE"""),175000.0)</f>
        <v>175000</v>
      </c>
    </row>
    <row r="115">
      <c r="A115" s="34" t="str">
        <f>IFERROR(__xludf.DUMMYFUNCTION("""COMPUTED_VALUE"""),"ASPAL CAIR")</f>
        <v>ASPAL CAIR</v>
      </c>
      <c r="B115" s="34">
        <f>IFERROR(__xludf.DUMMYFUNCTION("""COMPUTED_VALUE"""),7.0)</f>
        <v>7</v>
      </c>
      <c r="C115" s="34" t="str">
        <f>IFERROR(__xludf.DUMMYFUNCTION("""COMPUTED_VALUE"""),"G5")</f>
        <v>G5</v>
      </c>
      <c r="D115" s="34" t="str">
        <f>IFERROR(__xludf.DUMMYFUNCTION("""COMPUTED_VALUE"""),"A0113")</f>
        <v>A0113</v>
      </c>
      <c r="E115" s="35">
        <f>IFERROR(__xludf.DUMMYFUNCTION("""COMPUTED_VALUE"""),75480.0)</f>
        <v>75480</v>
      </c>
    </row>
    <row r="116">
      <c r="A116" s="34" t="str">
        <f>IFERROR(__xludf.DUMMYFUNCTION("""COMPUTED_VALUE"""),"SERAT FIBER ANTI BOCOR")</f>
        <v>SERAT FIBER ANTI BOCOR</v>
      </c>
      <c r="B116" s="34">
        <f>IFERROR(__xludf.DUMMYFUNCTION("""COMPUTED_VALUE"""),7.0)</f>
        <v>7</v>
      </c>
      <c r="C116" s="34" t="str">
        <f>IFERROR(__xludf.DUMMYFUNCTION("""COMPUTED_VALUE"""),"G5")</f>
        <v>G5</v>
      </c>
      <c r="D116" s="34" t="str">
        <f>IFERROR(__xludf.DUMMYFUNCTION("""COMPUTED_VALUE"""),"A0114")</f>
        <v>A0114</v>
      </c>
      <c r="E116" s="35">
        <f>IFERROR(__xludf.DUMMYFUNCTION("""COMPUTED_VALUE"""),1465.0)</f>
        <v>1465</v>
      </c>
    </row>
    <row r="117">
      <c r="A117" s="34" t="str">
        <f>IFERROR(__xludf.DUMMYFUNCTION("""COMPUTED_VALUE"""),"AQUAPROOF")</f>
        <v>AQUAPROOF</v>
      </c>
      <c r="B117" s="34">
        <f>IFERROR(__xludf.DUMMYFUNCTION("""COMPUTED_VALUE"""),7.0)</f>
        <v>7</v>
      </c>
      <c r="C117" s="34" t="str">
        <f>IFERROR(__xludf.DUMMYFUNCTION("""COMPUTED_VALUE"""),"G5")</f>
        <v>G5</v>
      </c>
      <c r="D117" s="34" t="str">
        <f>IFERROR(__xludf.DUMMYFUNCTION("""COMPUTED_VALUE"""),"A0115")</f>
        <v>A0115</v>
      </c>
      <c r="E117" s="35">
        <f>IFERROR(__xludf.DUMMYFUNCTION("""COMPUTED_VALUE"""),328560.0)</f>
        <v>328560</v>
      </c>
    </row>
    <row r="118">
      <c r="A118" s="34" t="str">
        <f>IFERROR(__xludf.DUMMYFUNCTION("""COMPUTED_VALUE"""),"SEALANT")</f>
        <v>SEALANT</v>
      </c>
      <c r="B118" s="34">
        <f>IFERROR(__xludf.DUMMYFUNCTION("""COMPUTED_VALUE"""),7.0)</f>
        <v>7</v>
      </c>
      <c r="C118" s="34" t="str">
        <f>IFERROR(__xludf.DUMMYFUNCTION("""COMPUTED_VALUE"""),"G5")</f>
        <v>G5</v>
      </c>
      <c r="D118" s="34" t="str">
        <f>IFERROR(__xludf.DUMMYFUNCTION("""COMPUTED_VALUE"""),"A0116")</f>
        <v>A0116</v>
      </c>
      <c r="E118" s="35">
        <f>IFERROR(__xludf.DUMMYFUNCTION("""COMPUTED_VALUE"""),54945.0)</f>
        <v>54945</v>
      </c>
    </row>
    <row r="119">
      <c r="A119" s="34" t="str">
        <f>IFERROR(__xludf.DUMMYFUNCTION("""COMPUTED_VALUE"""),"PILOX WARNA BIRU")</f>
        <v>PILOX WARNA BIRU</v>
      </c>
      <c r="B119" s="34">
        <f>IFERROR(__xludf.DUMMYFUNCTION("""COMPUTED_VALUE"""),7.0)</f>
        <v>7</v>
      </c>
      <c r="C119" s="34" t="str">
        <f>IFERROR(__xludf.DUMMYFUNCTION("""COMPUTED_VALUE"""),"G5")</f>
        <v>G5</v>
      </c>
      <c r="D119" s="34" t="str">
        <f>IFERROR(__xludf.DUMMYFUNCTION("""COMPUTED_VALUE"""),"A0117")</f>
        <v>A0117</v>
      </c>
      <c r="E119" s="35">
        <f>IFERROR(__xludf.DUMMYFUNCTION("""COMPUTED_VALUE"""),245310.0)</f>
        <v>245310</v>
      </c>
    </row>
    <row r="120">
      <c r="A120" s="34" t="str">
        <f>IFERROR(__xludf.DUMMYFUNCTION("""COMPUTED_VALUE"""),"PILOX WARNA HITAM")</f>
        <v>PILOX WARNA HITAM</v>
      </c>
      <c r="B120" s="34">
        <f>IFERROR(__xludf.DUMMYFUNCTION("""COMPUTED_VALUE"""),7.0)</f>
        <v>7</v>
      </c>
      <c r="C120" s="34" t="str">
        <f>IFERROR(__xludf.DUMMYFUNCTION("""COMPUTED_VALUE"""),"G5")</f>
        <v>G5</v>
      </c>
      <c r="D120" s="34" t="str">
        <f>IFERROR(__xludf.DUMMYFUNCTION("""COMPUTED_VALUE"""),"A0118")</f>
        <v>A0118</v>
      </c>
      <c r="E120" s="35">
        <f>IFERROR(__xludf.DUMMYFUNCTION("""COMPUTED_VALUE"""),245310.0)</f>
        <v>245310</v>
      </c>
    </row>
    <row r="121">
      <c r="A121" s="34" t="str">
        <f>IFERROR(__xludf.DUMMYFUNCTION("""COMPUTED_VALUE"""),"PILOX WARNA MERAH")</f>
        <v>PILOX WARNA MERAH</v>
      </c>
      <c r="B121" s="34">
        <f>IFERROR(__xludf.DUMMYFUNCTION("""COMPUTED_VALUE"""),7.0)</f>
        <v>7</v>
      </c>
      <c r="C121" s="34" t="str">
        <f>IFERROR(__xludf.DUMMYFUNCTION("""COMPUTED_VALUE"""),"G5")</f>
        <v>G5</v>
      </c>
      <c r="D121" s="34" t="str">
        <f>IFERROR(__xludf.DUMMYFUNCTION("""COMPUTED_VALUE"""),"A0119")</f>
        <v>A0119</v>
      </c>
      <c r="E121" s="35">
        <f>IFERROR(__xludf.DUMMYFUNCTION("""COMPUTED_VALUE"""),245310.0)</f>
        <v>245310</v>
      </c>
    </row>
    <row r="122">
      <c r="A122" s="34" t="str">
        <f>IFERROR(__xludf.DUMMYFUNCTION("""COMPUTED_VALUE"""),"LAYAR PROJECTOR")</f>
        <v>LAYAR PROJECTOR</v>
      </c>
      <c r="B122" s="34">
        <f>IFERROR(__xludf.DUMMYFUNCTION("""COMPUTED_VALUE"""),0.0)</f>
        <v>0</v>
      </c>
      <c r="C122" s="34" t="str">
        <f>IFERROR(__xludf.DUMMYFUNCTION("""COMPUTED_VALUE"""),"G2 ATAS")</f>
        <v>G2 ATAS</v>
      </c>
      <c r="D122" s="34" t="str">
        <f>IFERROR(__xludf.DUMMYFUNCTION("""COMPUTED_VALUE"""),"A0120")</f>
        <v>A0120</v>
      </c>
      <c r="E122" s="35">
        <f>IFERROR(__xludf.DUMMYFUNCTION("""COMPUTED_VALUE"""),1236540.0)</f>
        <v>1236540</v>
      </c>
    </row>
    <row r="123">
      <c r="A123" s="34" t="str">
        <f>IFERROR(__xludf.DUMMYFUNCTION("""COMPUTED_VALUE"""),"LAKBAN MERAH KAIN")</f>
        <v>LAKBAN MERAH KAIN</v>
      </c>
      <c r="B123" s="34">
        <f>IFERROR(__xludf.DUMMYFUNCTION("""COMPUTED_VALUE"""),7.0)</f>
        <v>7</v>
      </c>
      <c r="C123" s="34" t="str">
        <f>IFERROR(__xludf.DUMMYFUNCTION("""COMPUTED_VALUE"""),"G2 ATAS")</f>
        <v>G2 ATAS</v>
      </c>
      <c r="D123" s="34" t="str">
        <f>IFERROR(__xludf.DUMMYFUNCTION("""COMPUTED_VALUE"""),"A0121")</f>
        <v>A0121</v>
      </c>
      <c r="E123" s="35">
        <f>IFERROR(__xludf.DUMMYFUNCTION("""COMPUTED_VALUE"""),26973.0)</f>
        <v>26973</v>
      </c>
    </row>
    <row r="124">
      <c r="A124" s="34" t="str">
        <f>IFERROR(__xludf.DUMMYFUNCTION("""COMPUTED_VALUE"""),"LAKBAN GYPSUM")</f>
        <v>LAKBAN GYPSUM</v>
      </c>
      <c r="B124" s="34">
        <f>IFERROR(__xludf.DUMMYFUNCTION("""COMPUTED_VALUE"""),15.0)</f>
        <v>15</v>
      </c>
      <c r="C124" s="34" t="str">
        <f>IFERROR(__xludf.DUMMYFUNCTION("""COMPUTED_VALUE"""),"G2 ATAS")</f>
        <v>G2 ATAS</v>
      </c>
      <c r="D124" s="34" t="str">
        <f>IFERROR(__xludf.DUMMYFUNCTION("""COMPUTED_VALUE"""),"A0122")</f>
        <v>A0122</v>
      </c>
      <c r="E124" s="35">
        <f>IFERROR(__xludf.DUMMYFUNCTION("""COMPUTED_VALUE"""),20535.0)</f>
        <v>20535</v>
      </c>
    </row>
    <row r="125">
      <c r="A125" s="34" t="str">
        <f>IFERROR(__xludf.DUMMYFUNCTION("""COMPUTED_VALUE"""),"SERAGAM KERJA WARNA KUNING UK S")</f>
        <v>SERAGAM KERJA WARNA KUNING UK S</v>
      </c>
      <c r="B125" s="34">
        <f>IFERROR(__xludf.DUMMYFUNCTION("""COMPUTED_VALUE"""),15.0)</f>
        <v>15</v>
      </c>
      <c r="C125" s="34" t="str">
        <f>IFERROR(__xludf.DUMMYFUNCTION("""COMPUTED_VALUE"""),"G5")</f>
        <v>G5</v>
      </c>
      <c r="D125" s="34" t="str">
        <f>IFERROR(__xludf.DUMMYFUNCTION("""COMPUTED_VALUE"""),"A0123")</f>
        <v>A0123</v>
      </c>
      <c r="E125" s="35">
        <f>IFERROR(__xludf.DUMMYFUNCTION("""COMPUTED_VALUE"""),113775.00000000001)</f>
        <v>113775</v>
      </c>
    </row>
    <row r="126">
      <c r="A126" s="34" t="str">
        <f>IFERROR(__xludf.DUMMYFUNCTION("""COMPUTED_VALUE"""),"SERAGAM KERJA WARNA KUNING UK L")</f>
        <v>SERAGAM KERJA WARNA KUNING UK L</v>
      </c>
      <c r="B126" s="34">
        <f>IFERROR(__xludf.DUMMYFUNCTION("""COMPUTED_VALUE"""),15.0)</f>
        <v>15</v>
      </c>
      <c r="C126" s="34" t="str">
        <f>IFERROR(__xludf.DUMMYFUNCTION("""COMPUTED_VALUE"""),"G5")</f>
        <v>G5</v>
      </c>
      <c r="D126" s="34" t="str">
        <f>IFERROR(__xludf.DUMMYFUNCTION("""COMPUTED_VALUE"""),"A0124")</f>
        <v>A0124</v>
      </c>
      <c r="E126" s="35">
        <f>IFERROR(__xludf.DUMMYFUNCTION("""COMPUTED_VALUE"""),113775.00000000001)</f>
        <v>113775</v>
      </c>
    </row>
    <row r="127">
      <c r="A127" s="34" t="str">
        <f>IFERROR(__xludf.DUMMYFUNCTION("""COMPUTED_VALUE"""),"SERAGAM KERJA WARNA KUNING UK XXXL")</f>
        <v>SERAGAM KERJA WARNA KUNING UK XXXL</v>
      </c>
      <c r="B127" s="34">
        <f>IFERROR(__xludf.DUMMYFUNCTION("""COMPUTED_VALUE"""),15.0)</f>
        <v>15</v>
      </c>
      <c r="C127" s="34" t="str">
        <f>IFERROR(__xludf.DUMMYFUNCTION("""COMPUTED_VALUE"""),"G5")</f>
        <v>G5</v>
      </c>
      <c r="D127" s="34" t="str">
        <f>IFERROR(__xludf.DUMMYFUNCTION("""COMPUTED_VALUE"""),"A0125")</f>
        <v>A0125</v>
      </c>
      <c r="E127" s="35">
        <f>IFERROR(__xludf.DUMMYFUNCTION("""COMPUTED_VALUE"""),113775.00000000001)</f>
        <v>113775</v>
      </c>
    </row>
    <row r="128">
      <c r="A128" s="34" t="str">
        <f>IFERROR(__xludf.DUMMYFUNCTION("""COMPUTED_VALUE"""),"SERAGAM KERJA WARNA KUNING UK M")</f>
        <v>SERAGAM KERJA WARNA KUNING UK M</v>
      </c>
      <c r="B128" s="34">
        <f>IFERROR(__xludf.DUMMYFUNCTION("""COMPUTED_VALUE"""),15.0)</f>
        <v>15</v>
      </c>
      <c r="C128" s="34" t="str">
        <f>IFERROR(__xludf.DUMMYFUNCTION("""COMPUTED_VALUE"""),"G5")</f>
        <v>G5</v>
      </c>
      <c r="D128" s="34" t="str">
        <f>IFERROR(__xludf.DUMMYFUNCTION("""COMPUTED_VALUE"""),"A0126")</f>
        <v>A0126</v>
      </c>
      <c r="E128" s="35">
        <f>IFERROR(__xludf.DUMMYFUNCTION("""COMPUTED_VALUE"""),113775.00000000001)</f>
        <v>113775</v>
      </c>
    </row>
    <row r="129">
      <c r="A129" s="34" t="str">
        <f>IFERROR(__xludf.DUMMYFUNCTION("""COMPUTED_VALUE"""),"SERAGAM KERJA WARNA KUNING UK XL")</f>
        <v>SERAGAM KERJA WARNA KUNING UK XL</v>
      </c>
      <c r="B129" s="34">
        <f>IFERROR(__xludf.DUMMYFUNCTION("""COMPUTED_VALUE"""),15.0)</f>
        <v>15</v>
      </c>
      <c r="C129" s="34" t="str">
        <f>IFERROR(__xludf.DUMMYFUNCTION("""COMPUTED_VALUE"""),"G5")</f>
        <v>G5</v>
      </c>
      <c r="D129" s="34" t="str">
        <f>IFERROR(__xludf.DUMMYFUNCTION("""COMPUTED_VALUE"""),"A0127")</f>
        <v>A0127</v>
      </c>
      <c r="E129" s="35">
        <f>IFERROR(__xludf.DUMMYFUNCTION("""COMPUTED_VALUE"""),113775.00000000001)</f>
        <v>113775</v>
      </c>
    </row>
    <row r="130">
      <c r="A130" s="34" t="str">
        <f>IFERROR(__xludf.DUMMYFUNCTION("""COMPUTED_VALUE"""),"SERAGAM KERJA WARNA KUNING UK XXL")</f>
        <v>SERAGAM KERJA WARNA KUNING UK XXL</v>
      </c>
      <c r="B130" s="34">
        <f>IFERROR(__xludf.DUMMYFUNCTION("""COMPUTED_VALUE"""),15.0)</f>
        <v>15</v>
      </c>
      <c r="C130" s="34" t="str">
        <f>IFERROR(__xludf.DUMMYFUNCTION("""COMPUTED_VALUE"""),"G5")</f>
        <v>G5</v>
      </c>
      <c r="D130" s="34" t="str">
        <f>IFERROR(__xludf.DUMMYFUNCTION("""COMPUTED_VALUE"""),"A0128")</f>
        <v>A0128</v>
      </c>
      <c r="E130" s="35">
        <f>IFERROR(__xludf.DUMMYFUNCTION("""COMPUTED_VALUE"""),113775.00000000001)</f>
        <v>113775</v>
      </c>
    </row>
    <row r="131">
      <c r="A131" s="34" t="str">
        <f>IFERROR(__xludf.DUMMYFUNCTION("""COMPUTED_VALUE"""),"SERAGAM KERJA WARNA HITAM UK M")</f>
        <v>SERAGAM KERJA WARNA HITAM UK M</v>
      </c>
      <c r="B131" s="34">
        <f>IFERROR(__xludf.DUMMYFUNCTION("""COMPUTED_VALUE"""),15.0)</f>
        <v>15</v>
      </c>
      <c r="C131" s="34" t="str">
        <f>IFERROR(__xludf.DUMMYFUNCTION("""COMPUTED_VALUE"""),"G5")</f>
        <v>G5</v>
      </c>
      <c r="D131" s="34" t="str">
        <f>IFERROR(__xludf.DUMMYFUNCTION("""COMPUTED_VALUE"""),"A0129")</f>
        <v>A0129</v>
      </c>
      <c r="E131" s="35">
        <f>IFERROR(__xludf.DUMMYFUNCTION("""COMPUTED_VALUE"""),113775.00000000001)</f>
        <v>113775</v>
      </c>
    </row>
    <row r="132">
      <c r="A132" s="34" t="str">
        <f>IFERROR(__xludf.DUMMYFUNCTION("""COMPUTED_VALUE"""),"SERAGAM KERJA WARNA HITAM UK XL")</f>
        <v>SERAGAM KERJA WARNA HITAM UK XL</v>
      </c>
      <c r="B132" s="34">
        <f>IFERROR(__xludf.DUMMYFUNCTION("""COMPUTED_VALUE"""),15.0)</f>
        <v>15</v>
      </c>
      <c r="C132" s="34" t="str">
        <f>IFERROR(__xludf.DUMMYFUNCTION("""COMPUTED_VALUE"""),"G5")</f>
        <v>G5</v>
      </c>
      <c r="D132" s="34" t="str">
        <f>IFERROR(__xludf.DUMMYFUNCTION("""COMPUTED_VALUE"""),"A0130")</f>
        <v>A0130</v>
      </c>
      <c r="E132" s="35">
        <f>IFERROR(__xludf.DUMMYFUNCTION("""COMPUTED_VALUE"""),113775.00000000001)</f>
        <v>113775</v>
      </c>
    </row>
    <row r="133">
      <c r="A133" s="34" t="str">
        <f>IFERROR(__xludf.DUMMYFUNCTION("""COMPUTED_VALUE"""),"SERAGAM KERJA WARNA HITAM XXXL")</f>
        <v>SERAGAM KERJA WARNA HITAM XXXL</v>
      </c>
      <c r="B133" s="34">
        <f>IFERROR(__xludf.DUMMYFUNCTION("""COMPUTED_VALUE"""),15.0)</f>
        <v>15</v>
      </c>
      <c r="C133" s="34" t="str">
        <f>IFERROR(__xludf.DUMMYFUNCTION("""COMPUTED_VALUE"""),"G5")</f>
        <v>G5</v>
      </c>
      <c r="D133" s="34" t="str">
        <f>IFERROR(__xludf.DUMMYFUNCTION("""COMPUTED_VALUE"""),"A0131")</f>
        <v>A0131</v>
      </c>
      <c r="E133" s="35">
        <f>IFERROR(__xludf.DUMMYFUNCTION("""COMPUTED_VALUE"""),113775.00000000001)</f>
        <v>113775</v>
      </c>
    </row>
    <row r="134">
      <c r="A134" s="34" t="str">
        <f>IFERROR(__xludf.DUMMYFUNCTION("""COMPUTED_VALUE"""),"SERAGAM KERJA WARNA HITAM XXL")</f>
        <v>SERAGAM KERJA WARNA HITAM XXL</v>
      </c>
      <c r="B134" s="34">
        <f>IFERROR(__xludf.DUMMYFUNCTION("""COMPUTED_VALUE"""),15.0)</f>
        <v>15</v>
      </c>
      <c r="C134" s="34" t="str">
        <f>IFERROR(__xludf.DUMMYFUNCTION("""COMPUTED_VALUE"""),"G5")</f>
        <v>G5</v>
      </c>
      <c r="D134" s="34" t="str">
        <f>IFERROR(__xludf.DUMMYFUNCTION("""COMPUTED_VALUE"""),"A0132")</f>
        <v>A0132</v>
      </c>
      <c r="E134" s="35">
        <f>IFERROR(__xludf.DUMMYFUNCTION("""COMPUTED_VALUE"""),113775.00000000001)</f>
        <v>113775</v>
      </c>
    </row>
    <row r="135">
      <c r="A135" s="34" t="str">
        <f>IFERROR(__xludf.DUMMYFUNCTION("""COMPUTED_VALUE"""),"SERAGAM KERJA WARNA HIJAU XXL")</f>
        <v>SERAGAM KERJA WARNA HIJAU XXL</v>
      </c>
      <c r="B135" s="34">
        <f>IFERROR(__xludf.DUMMYFUNCTION("""COMPUTED_VALUE"""),15.0)</f>
        <v>15</v>
      </c>
      <c r="C135" s="34" t="str">
        <f>IFERROR(__xludf.DUMMYFUNCTION("""COMPUTED_VALUE"""),"G5")</f>
        <v>G5</v>
      </c>
      <c r="D135" s="34" t="str">
        <f>IFERROR(__xludf.DUMMYFUNCTION("""COMPUTED_VALUE"""),"A0133")</f>
        <v>A0133</v>
      </c>
      <c r="E135" s="35">
        <f>IFERROR(__xludf.DUMMYFUNCTION("""COMPUTED_VALUE"""),113775.00000000001)</f>
        <v>113775</v>
      </c>
    </row>
    <row r="136">
      <c r="A136" s="34" t="str">
        <f>IFERROR(__xludf.DUMMYFUNCTION("""COMPUTED_VALUE"""),"SERAGAM KERJA WARNA HIJAU XL")</f>
        <v>SERAGAM KERJA WARNA HIJAU XL</v>
      </c>
      <c r="B136" s="34">
        <f>IFERROR(__xludf.DUMMYFUNCTION("""COMPUTED_VALUE"""),15.0)</f>
        <v>15</v>
      </c>
      <c r="C136" s="34" t="str">
        <f>IFERROR(__xludf.DUMMYFUNCTION("""COMPUTED_VALUE"""),"G5")</f>
        <v>G5</v>
      </c>
      <c r="D136" s="34" t="str">
        <f>IFERROR(__xludf.DUMMYFUNCTION("""COMPUTED_VALUE"""),"A0134")</f>
        <v>A0134</v>
      </c>
      <c r="E136" s="35">
        <f>IFERROR(__xludf.DUMMYFUNCTION("""COMPUTED_VALUE"""),113775.00000000001)</f>
        <v>113775</v>
      </c>
    </row>
    <row r="137">
      <c r="A137" s="34" t="str">
        <f>IFERROR(__xludf.DUMMYFUNCTION("""COMPUTED_VALUE"""),"SERAGAM KERJA WARNA BIRU UK XL")</f>
        <v>SERAGAM KERJA WARNA BIRU UK XL</v>
      </c>
      <c r="B137" s="34">
        <f>IFERROR(__xludf.DUMMYFUNCTION("""COMPUTED_VALUE"""),15.0)</f>
        <v>15</v>
      </c>
      <c r="C137" s="34" t="str">
        <f>IFERROR(__xludf.DUMMYFUNCTION("""COMPUTED_VALUE"""),"G5")</f>
        <v>G5</v>
      </c>
      <c r="D137" s="34" t="str">
        <f>IFERROR(__xludf.DUMMYFUNCTION("""COMPUTED_VALUE"""),"A0135")</f>
        <v>A0135</v>
      </c>
      <c r="E137" s="35">
        <f>IFERROR(__xludf.DUMMYFUNCTION("""COMPUTED_VALUE"""),113775.00000000001)</f>
        <v>113775</v>
      </c>
    </row>
    <row r="138">
      <c r="A138" s="34" t="str">
        <f>IFERROR(__xludf.DUMMYFUNCTION("""COMPUTED_VALUE"""),"SERAGAM KERJA WARNA BIRU UK L ( SAMPLE )")</f>
        <v>SERAGAM KERJA WARNA BIRU UK L ( SAMPLE )</v>
      </c>
      <c r="B138" s="34">
        <f>IFERROR(__xludf.DUMMYFUNCTION("""COMPUTED_VALUE"""),15.0)</f>
        <v>15</v>
      </c>
      <c r="C138" s="34" t="str">
        <f>IFERROR(__xludf.DUMMYFUNCTION("""COMPUTED_VALUE"""),"G5")</f>
        <v>G5</v>
      </c>
      <c r="D138" s="34" t="str">
        <f>IFERROR(__xludf.DUMMYFUNCTION("""COMPUTED_VALUE"""),"A0136")</f>
        <v>A0136</v>
      </c>
      <c r="E138" s="35">
        <f>IFERROR(__xludf.DUMMYFUNCTION("""COMPUTED_VALUE"""),113775.00000000001)</f>
        <v>113775</v>
      </c>
    </row>
    <row r="139">
      <c r="A139" s="34" t="str">
        <f>IFERROR(__xludf.DUMMYFUNCTION("""COMPUTED_VALUE"""),"SERAGAM KERJA WARNA BIRU UK XXL")</f>
        <v>SERAGAM KERJA WARNA BIRU UK XXL</v>
      </c>
      <c r="B139" s="34">
        <f>IFERROR(__xludf.DUMMYFUNCTION("""COMPUTED_VALUE"""),15.0)</f>
        <v>15</v>
      </c>
      <c r="C139" s="34" t="str">
        <f>IFERROR(__xludf.DUMMYFUNCTION("""COMPUTED_VALUE"""),"G5")</f>
        <v>G5</v>
      </c>
      <c r="D139" s="34" t="str">
        <f>IFERROR(__xludf.DUMMYFUNCTION("""COMPUTED_VALUE"""),"A0137")</f>
        <v>A0137</v>
      </c>
      <c r="E139" s="35">
        <f>IFERROR(__xludf.DUMMYFUNCTION("""COMPUTED_VALUE"""),113775.00000000001)</f>
        <v>113775</v>
      </c>
    </row>
    <row r="140">
      <c r="A140" s="34" t="str">
        <f>IFERROR(__xludf.DUMMYFUNCTION("""COMPUTED_VALUE"""),"CELANA KERJA UKURAN 31")</f>
        <v>CELANA KERJA UKURAN 31</v>
      </c>
      <c r="B140" s="34">
        <f>IFERROR(__xludf.DUMMYFUNCTION("""COMPUTED_VALUE"""),15.0)</f>
        <v>15</v>
      </c>
      <c r="C140" s="34" t="str">
        <f>IFERROR(__xludf.DUMMYFUNCTION("""COMPUTED_VALUE"""),"G5")</f>
        <v>G5</v>
      </c>
      <c r="D140" s="34" t="str">
        <f>IFERROR(__xludf.DUMMYFUNCTION("""COMPUTED_VALUE"""),"A0138")</f>
        <v>A0138</v>
      </c>
      <c r="E140" s="35">
        <f>IFERROR(__xludf.DUMMYFUNCTION("""COMPUTED_VALUE"""),98235.00000000001)</f>
        <v>98235</v>
      </c>
    </row>
    <row r="141">
      <c r="A141" s="34" t="str">
        <f>IFERROR(__xludf.DUMMYFUNCTION("""COMPUTED_VALUE"""),"CELANA KERJA UKURAN 32")</f>
        <v>CELANA KERJA UKURAN 32</v>
      </c>
      <c r="B141" s="34">
        <f>IFERROR(__xludf.DUMMYFUNCTION("""COMPUTED_VALUE"""),15.0)</f>
        <v>15</v>
      </c>
      <c r="C141" s="34" t="str">
        <f>IFERROR(__xludf.DUMMYFUNCTION("""COMPUTED_VALUE"""),"G5")</f>
        <v>G5</v>
      </c>
      <c r="D141" s="34" t="str">
        <f>IFERROR(__xludf.DUMMYFUNCTION("""COMPUTED_VALUE"""),"A0139")</f>
        <v>A0139</v>
      </c>
      <c r="E141" s="35">
        <f>IFERROR(__xludf.DUMMYFUNCTION("""COMPUTED_VALUE"""),98235.00000000001)</f>
        <v>98235</v>
      </c>
    </row>
    <row r="142">
      <c r="A142" s="34" t="str">
        <f>IFERROR(__xludf.DUMMYFUNCTION("""COMPUTED_VALUE"""),"CELANA KERJA UKURAN 33")</f>
        <v>CELANA KERJA UKURAN 33</v>
      </c>
      <c r="B142" s="34">
        <f>IFERROR(__xludf.DUMMYFUNCTION("""COMPUTED_VALUE"""),15.0)</f>
        <v>15</v>
      </c>
      <c r="C142" s="34" t="str">
        <f>IFERROR(__xludf.DUMMYFUNCTION("""COMPUTED_VALUE"""),"G5")</f>
        <v>G5</v>
      </c>
      <c r="D142" s="34" t="str">
        <f>IFERROR(__xludf.DUMMYFUNCTION("""COMPUTED_VALUE"""),"A0140")</f>
        <v>A0140</v>
      </c>
      <c r="E142" s="35">
        <f>IFERROR(__xludf.DUMMYFUNCTION("""COMPUTED_VALUE"""),98235.00000000001)</f>
        <v>98235</v>
      </c>
    </row>
    <row r="143">
      <c r="A143" s="34" t="str">
        <f>IFERROR(__xludf.DUMMYFUNCTION("""COMPUTED_VALUE"""),"CELANA KERJA UKURAN 34")</f>
        <v>CELANA KERJA UKURAN 34</v>
      </c>
      <c r="B143" s="34">
        <f>IFERROR(__xludf.DUMMYFUNCTION("""COMPUTED_VALUE"""),15.0)</f>
        <v>15</v>
      </c>
      <c r="C143" s="34" t="str">
        <f>IFERROR(__xludf.DUMMYFUNCTION("""COMPUTED_VALUE"""),"G5")</f>
        <v>G5</v>
      </c>
      <c r="D143" s="34" t="str">
        <f>IFERROR(__xludf.DUMMYFUNCTION("""COMPUTED_VALUE"""),"A0141")</f>
        <v>A0141</v>
      </c>
      <c r="E143" s="35">
        <f>IFERROR(__xludf.DUMMYFUNCTION("""COMPUTED_VALUE"""),98235.00000000001)</f>
        <v>98235</v>
      </c>
    </row>
    <row r="144">
      <c r="A144" s="34" t="str">
        <f>IFERROR(__xludf.DUMMYFUNCTION("""COMPUTED_VALUE"""),"CELANA KERJA UKURAN 35")</f>
        <v>CELANA KERJA UKURAN 35</v>
      </c>
      <c r="B144" s="34">
        <f>IFERROR(__xludf.DUMMYFUNCTION("""COMPUTED_VALUE"""),15.0)</f>
        <v>15</v>
      </c>
      <c r="C144" s="34" t="str">
        <f>IFERROR(__xludf.DUMMYFUNCTION("""COMPUTED_VALUE"""),"G5")</f>
        <v>G5</v>
      </c>
      <c r="D144" s="34" t="str">
        <f>IFERROR(__xludf.DUMMYFUNCTION("""COMPUTED_VALUE"""),"A0142")</f>
        <v>A0142</v>
      </c>
      <c r="E144" s="35">
        <f>IFERROR(__xludf.DUMMYFUNCTION("""COMPUTED_VALUE"""),98235.00000000001)</f>
        <v>98235</v>
      </c>
    </row>
    <row r="145">
      <c r="A145" s="34" t="str">
        <f>IFERROR(__xludf.DUMMYFUNCTION("""COMPUTED_VALUE"""),"CELANA KERJA UKURAN 36")</f>
        <v>CELANA KERJA UKURAN 36</v>
      </c>
      <c r="B145" s="34">
        <f>IFERROR(__xludf.DUMMYFUNCTION("""COMPUTED_VALUE"""),15.0)</f>
        <v>15</v>
      </c>
      <c r="C145" s="34" t="str">
        <f>IFERROR(__xludf.DUMMYFUNCTION("""COMPUTED_VALUE"""),"G5")</f>
        <v>G5</v>
      </c>
      <c r="D145" s="34" t="str">
        <f>IFERROR(__xludf.DUMMYFUNCTION("""COMPUTED_VALUE"""),"A0143")</f>
        <v>A0143</v>
      </c>
      <c r="E145" s="35">
        <f>IFERROR(__xludf.DUMMYFUNCTION("""COMPUTED_VALUE"""),98235.00000000001)</f>
        <v>98235</v>
      </c>
    </row>
    <row r="146">
      <c r="A146" s="34" t="str">
        <f>IFERROR(__xludf.DUMMYFUNCTION("""COMPUTED_VALUE"""),"CELANA KERJA UKURAN 38")</f>
        <v>CELANA KERJA UKURAN 38</v>
      </c>
      <c r="B146" s="34"/>
      <c r="C146" s="34"/>
      <c r="D146" s="34"/>
      <c r="E146" s="35"/>
    </row>
    <row r="147">
      <c r="A147" s="34" t="str">
        <f>IFERROR(__xludf.DUMMYFUNCTION("""COMPUTED_VALUE"""),"CELANA KERJA UKURAN 37")</f>
        <v>CELANA KERJA UKURAN 37</v>
      </c>
      <c r="B147" s="34">
        <f>IFERROR(__xludf.DUMMYFUNCTION("""COMPUTED_VALUE"""),15.0)</f>
        <v>15</v>
      </c>
      <c r="C147" s="34" t="str">
        <f>IFERROR(__xludf.DUMMYFUNCTION("""COMPUTED_VALUE"""),"G5")</f>
        <v>G5</v>
      </c>
      <c r="D147" s="34" t="str">
        <f>IFERROR(__xludf.DUMMYFUNCTION("""COMPUTED_VALUE"""),"A0144")</f>
        <v>A0144</v>
      </c>
      <c r="E147" s="35">
        <f>IFERROR(__xludf.DUMMYFUNCTION("""COMPUTED_VALUE"""),98235.00000000001)</f>
        <v>98235</v>
      </c>
    </row>
    <row r="148">
      <c r="A148" s="34" t="str">
        <f>IFERROR(__xludf.DUMMYFUNCTION("""COMPUTED_VALUE"""),"CELANA KERJA UKURAN 41")</f>
        <v>CELANA KERJA UKURAN 41</v>
      </c>
      <c r="B148" s="34">
        <f>IFERROR(__xludf.DUMMYFUNCTION("""COMPUTED_VALUE"""),15.0)</f>
        <v>15</v>
      </c>
      <c r="C148" s="34" t="str">
        <f>IFERROR(__xludf.DUMMYFUNCTION("""COMPUTED_VALUE"""),"G5")</f>
        <v>G5</v>
      </c>
      <c r="D148" s="34" t="str">
        <f>IFERROR(__xludf.DUMMYFUNCTION("""COMPUTED_VALUE"""),"A0145")</f>
        <v>A0145</v>
      </c>
      <c r="E148" s="35">
        <f>IFERROR(__xludf.DUMMYFUNCTION("""COMPUTED_VALUE"""),98235.00000000001)</f>
        <v>98235</v>
      </c>
    </row>
    <row r="149">
      <c r="A149" s="34" t="str">
        <f>IFERROR(__xludf.DUMMYFUNCTION("""COMPUTED_VALUE"""),"CELANA KERJA UKURAN 42")</f>
        <v>CELANA KERJA UKURAN 42</v>
      </c>
      <c r="B149" s="34">
        <f>IFERROR(__xludf.DUMMYFUNCTION("""COMPUTED_VALUE"""),15.0)</f>
        <v>15</v>
      </c>
      <c r="C149" s="34" t="str">
        <f>IFERROR(__xludf.DUMMYFUNCTION("""COMPUTED_VALUE"""),"G5")</f>
        <v>G5</v>
      </c>
      <c r="D149" s="34" t="str">
        <f>IFERROR(__xludf.DUMMYFUNCTION("""COMPUTED_VALUE"""),"A0146")</f>
        <v>A0146</v>
      </c>
      <c r="E149" s="35">
        <f>IFERROR(__xludf.DUMMYFUNCTION("""COMPUTED_VALUE"""),98235.00000000001)</f>
        <v>98235</v>
      </c>
    </row>
    <row r="150">
      <c r="A150" s="34" t="str">
        <f>IFERROR(__xludf.DUMMYFUNCTION("""COMPUTED_VALUE"""),"CELANA KERJA UKURAN 43")</f>
        <v>CELANA KERJA UKURAN 43</v>
      </c>
      <c r="B150" s="34">
        <f>IFERROR(__xludf.DUMMYFUNCTION("""COMPUTED_VALUE"""),15.0)</f>
        <v>15</v>
      </c>
      <c r="C150" s="34" t="str">
        <f>IFERROR(__xludf.DUMMYFUNCTION("""COMPUTED_VALUE"""),"G5")</f>
        <v>G5</v>
      </c>
      <c r="D150" s="34" t="str">
        <f>IFERROR(__xludf.DUMMYFUNCTION("""COMPUTED_VALUE"""),"A0147")</f>
        <v>A0147</v>
      </c>
      <c r="E150" s="35">
        <f>IFERROR(__xludf.DUMMYFUNCTION("""COMPUTED_VALUE"""),98235.00000000001)</f>
        <v>98235</v>
      </c>
    </row>
    <row r="151">
      <c r="A151" s="34" t="str">
        <f>IFERROR(__xludf.DUMMYFUNCTION("""COMPUTED_VALUE"""),"JAS DISPOSABLE")</f>
        <v>JAS DISPOSABLE</v>
      </c>
      <c r="B151" s="34">
        <f>IFERROR(__xludf.DUMMYFUNCTION("""COMPUTED_VALUE"""),15.0)</f>
        <v>15</v>
      </c>
      <c r="C151" s="34" t="str">
        <f>IFERROR(__xludf.DUMMYFUNCTION("""COMPUTED_VALUE"""),"G5")</f>
        <v>G5</v>
      </c>
      <c r="D151" s="34" t="str">
        <f>IFERROR(__xludf.DUMMYFUNCTION("""COMPUTED_VALUE"""),"A0148")</f>
        <v>A0148</v>
      </c>
      <c r="E151" s="35">
        <f>IFERROR(__xludf.DUMMYFUNCTION("""COMPUTED_VALUE"""),41958.0)</f>
        <v>41958</v>
      </c>
    </row>
    <row r="152">
      <c r="A152" s="34" t="str">
        <f>IFERROR(__xludf.DUMMYFUNCTION("""COMPUTED_VALUE"""),"APD HIJAU XL")</f>
        <v>APD HIJAU XL</v>
      </c>
      <c r="B152" s="34">
        <f>IFERROR(__xludf.DUMMYFUNCTION("""COMPUTED_VALUE"""),15.0)</f>
        <v>15</v>
      </c>
      <c r="C152" s="34" t="str">
        <f>IFERROR(__xludf.DUMMYFUNCTION("""COMPUTED_VALUE"""),"G5")</f>
        <v>G5</v>
      </c>
      <c r="D152" s="34" t="str">
        <f>IFERROR(__xludf.DUMMYFUNCTION("""COMPUTED_VALUE"""),"A0149")</f>
        <v>A0149</v>
      </c>
      <c r="E152" s="35">
        <f>IFERROR(__xludf.DUMMYFUNCTION("""COMPUTED_VALUE"""),61895.0)</f>
        <v>61895</v>
      </c>
    </row>
    <row r="153">
      <c r="A153" s="34" t="str">
        <f>IFERROR(__xludf.DUMMYFUNCTION("""COMPUTED_VALUE"""),"APD HIJAU L")</f>
        <v>APD HIJAU L</v>
      </c>
      <c r="B153" s="34">
        <f>IFERROR(__xludf.DUMMYFUNCTION("""COMPUTED_VALUE"""),15.0)</f>
        <v>15</v>
      </c>
      <c r="C153" s="34" t="str">
        <f>IFERROR(__xludf.DUMMYFUNCTION("""COMPUTED_VALUE"""),"G5")</f>
        <v>G5</v>
      </c>
      <c r="D153" s="34" t="str">
        <f>IFERROR(__xludf.DUMMYFUNCTION("""COMPUTED_VALUE"""),"A0150")</f>
        <v>A0150</v>
      </c>
      <c r="E153" s="35">
        <f>IFERROR(__xludf.DUMMYFUNCTION("""COMPUTED_VALUE"""),61895.0)</f>
        <v>61895</v>
      </c>
    </row>
    <row r="154">
      <c r="A154" s="34" t="str">
        <f>IFERROR(__xludf.DUMMYFUNCTION("""COMPUTED_VALUE"""),"APD HIJAU M")</f>
        <v>APD HIJAU M</v>
      </c>
      <c r="B154" s="34">
        <f>IFERROR(__xludf.DUMMYFUNCTION("""COMPUTED_VALUE"""),15.0)</f>
        <v>15</v>
      </c>
      <c r="C154" s="34" t="str">
        <f>IFERROR(__xludf.DUMMYFUNCTION("""COMPUTED_VALUE"""),"G5")</f>
        <v>G5</v>
      </c>
      <c r="D154" s="34" t="str">
        <f>IFERROR(__xludf.DUMMYFUNCTION("""COMPUTED_VALUE"""),"A0151")</f>
        <v>A0151</v>
      </c>
      <c r="E154" s="35">
        <f>IFERROR(__xludf.DUMMYFUNCTION("""COMPUTED_VALUE"""),61895.0)</f>
        <v>61895</v>
      </c>
    </row>
    <row r="155">
      <c r="A155" s="34" t="str">
        <f>IFERROR(__xludf.DUMMYFUNCTION("""COMPUTED_VALUE"""),"APD BIRU 2XL")</f>
        <v>APD BIRU 2XL</v>
      </c>
      <c r="B155" s="34">
        <f>IFERROR(__xludf.DUMMYFUNCTION("""COMPUTED_VALUE"""),15.0)</f>
        <v>15</v>
      </c>
      <c r="C155" s="34" t="str">
        <f>IFERROR(__xludf.DUMMYFUNCTION("""COMPUTED_VALUE"""),"G5")</f>
        <v>G5</v>
      </c>
      <c r="D155" s="34" t="str">
        <f>IFERROR(__xludf.DUMMYFUNCTION("""COMPUTED_VALUE"""),"A0152")</f>
        <v>A0152</v>
      </c>
      <c r="E155" s="35">
        <f>IFERROR(__xludf.DUMMYFUNCTION("""COMPUTED_VALUE"""),61895.0)</f>
        <v>61895</v>
      </c>
    </row>
    <row r="156">
      <c r="A156" s="34" t="str">
        <f>IFERROR(__xludf.DUMMYFUNCTION("""COMPUTED_VALUE"""),"APD BIRU 3XL")</f>
        <v>APD BIRU 3XL</v>
      </c>
      <c r="B156" s="34">
        <f>IFERROR(__xludf.DUMMYFUNCTION("""COMPUTED_VALUE"""),15.0)</f>
        <v>15</v>
      </c>
      <c r="C156" s="34" t="str">
        <f>IFERROR(__xludf.DUMMYFUNCTION("""COMPUTED_VALUE"""),"G5")</f>
        <v>G5</v>
      </c>
      <c r="D156" s="34" t="str">
        <f>IFERROR(__xludf.DUMMYFUNCTION("""COMPUTED_VALUE"""),"A0153")</f>
        <v>A0153</v>
      </c>
      <c r="E156" s="35">
        <f>IFERROR(__xludf.DUMMYFUNCTION("""COMPUTED_VALUE"""),61895.0)</f>
        <v>61895</v>
      </c>
    </row>
    <row r="157">
      <c r="A157" s="34" t="str">
        <f>IFERROR(__xludf.DUMMYFUNCTION("""COMPUTED_VALUE"""),"APD BIRU 4XL")</f>
        <v>APD BIRU 4XL</v>
      </c>
      <c r="B157" s="34">
        <f>IFERROR(__xludf.DUMMYFUNCTION("""COMPUTED_VALUE"""),15.0)</f>
        <v>15</v>
      </c>
      <c r="C157" s="34" t="str">
        <f>IFERROR(__xludf.DUMMYFUNCTION("""COMPUTED_VALUE"""),"G5")</f>
        <v>G5</v>
      </c>
      <c r="D157" s="34" t="str">
        <f>IFERROR(__xludf.DUMMYFUNCTION("""COMPUTED_VALUE"""),"A0154")</f>
        <v>A0154</v>
      </c>
      <c r="E157" s="35">
        <f>IFERROR(__xludf.DUMMYFUNCTION("""COMPUTED_VALUE"""),61895.0)</f>
        <v>61895</v>
      </c>
    </row>
    <row r="158">
      <c r="A158" s="34" t="str">
        <f>IFERROR(__xludf.DUMMYFUNCTION("""COMPUTED_VALUE"""),"LAMPU HANNOCHS 50W")</f>
        <v>LAMPU HANNOCHS 50W</v>
      </c>
      <c r="B158" s="34">
        <f>IFERROR(__xludf.DUMMYFUNCTION("""COMPUTED_VALUE"""),15.0)</f>
        <v>15</v>
      </c>
      <c r="C158" s="34" t="str">
        <f>IFERROR(__xludf.DUMMYFUNCTION("""COMPUTED_VALUE"""),"G5")</f>
        <v>G5</v>
      </c>
      <c r="D158" s="34" t="str">
        <f>IFERROR(__xludf.DUMMYFUNCTION("""COMPUTED_VALUE"""),"A0155")</f>
        <v>A0155</v>
      </c>
      <c r="E158" s="35">
        <f>IFERROR(__xludf.DUMMYFUNCTION("""COMPUTED_VALUE"""),116550.0)</f>
        <v>116550</v>
      </c>
    </row>
    <row r="159">
      <c r="A159" s="34" t="str">
        <f>IFERROR(__xludf.DUMMYFUNCTION("""COMPUTED_VALUE"""),"LAMPU HANNOCHS 13W")</f>
        <v>LAMPU HANNOCHS 13W</v>
      </c>
      <c r="B159" s="34">
        <f>IFERROR(__xludf.DUMMYFUNCTION("""COMPUTED_VALUE"""),15.0)</f>
        <v>15</v>
      </c>
      <c r="C159" s="34" t="str">
        <f>IFERROR(__xludf.DUMMYFUNCTION("""COMPUTED_VALUE"""),"G5")</f>
        <v>G5</v>
      </c>
      <c r="D159" s="34" t="str">
        <f>IFERROR(__xludf.DUMMYFUNCTION("""COMPUTED_VALUE"""),"A0156")</f>
        <v>A0156</v>
      </c>
      <c r="E159" s="35">
        <f>IFERROR(__xludf.DUMMYFUNCTION("""COMPUTED_VALUE"""),49500.0)</f>
        <v>49500</v>
      </c>
    </row>
    <row r="160">
      <c r="A160" s="34" t="str">
        <f>IFERROR(__xludf.DUMMYFUNCTION("""COMPUTED_VALUE"""),"LAMPU HANNOCHS 32W")</f>
        <v>LAMPU HANNOCHS 32W</v>
      </c>
      <c r="B160" s="34">
        <f>IFERROR(__xludf.DUMMYFUNCTION("""COMPUTED_VALUE"""),15.0)</f>
        <v>15</v>
      </c>
      <c r="C160" s="34" t="str">
        <f>IFERROR(__xludf.DUMMYFUNCTION("""COMPUTED_VALUE"""),"G5")</f>
        <v>G5</v>
      </c>
      <c r="D160" s="34" t="str">
        <f>IFERROR(__xludf.DUMMYFUNCTION("""COMPUTED_VALUE"""),"A0157")</f>
        <v>A0157</v>
      </c>
      <c r="E160" s="35">
        <f>IFERROR(__xludf.DUMMYFUNCTION("""COMPUTED_VALUE"""),79365.0)</f>
        <v>79365</v>
      </c>
    </row>
    <row r="161">
      <c r="A161" s="34" t="str">
        <f>IFERROR(__xludf.DUMMYFUNCTION("""COMPUTED_VALUE"""),"LAMPU SHIMATA PLUS S20")</f>
        <v>LAMPU SHIMATA PLUS S20</v>
      </c>
      <c r="B161" s="34">
        <f>IFERROR(__xludf.DUMMYFUNCTION("""COMPUTED_VALUE"""),15.0)</f>
        <v>15</v>
      </c>
      <c r="C161" s="34" t="str">
        <f>IFERROR(__xludf.DUMMYFUNCTION("""COMPUTED_VALUE"""),"G5")</f>
        <v>G5</v>
      </c>
      <c r="D161" s="34" t="str">
        <f>IFERROR(__xludf.DUMMYFUNCTION("""COMPUTED_VALUE"""),"A0158")</f>
        <v>A0158</v>
      </c>
      <c r="E161" s="35">
        <f>IFERROR(__xludf.DUMMYFUNCTION("""COMPUTED_VALUE"""),7500.0)</f>
        <v>7500</v>
      </c>
    </row>
    <row r="162">
      <c r="A162" s="34" t="str">
        <f>IFERROR(__xludf.DUMMYFUNCTION("""COMPUTED_VALUE"""),"LAMPU EMERGENCY ")</f>
        <v>LAMPU EMERGENCY </v>
      </c>
      <c r="B162" s="34">
        <f>IFERROR(__xludf.DUMMYFUNCTION("""COMPUTED_VALUE"""),15.0)</f>
        <v>15</v>
      </c>
      <c r="C162" s="34" t="str">
        <f>IFERROR(__xludf.DUMMYFUNCTION("""COMPUTED_VALUE"""),"G5")</f>
        <v>G5</v>
      </c>
      <c r="D162" s="34" t="str">
        <f>IFERROR(__xludf.DUMMYFUNCTION("""COMPUTED_VALUE"""),"A0159")</f>
        <v>A0159</v>
      </c>
      <c r="E162" s="35">
        <f>IFERROR(__xludf.DUMMYFUNCTION("""COMPUTED_VALUE"""),279276.0)</f>
        <v>279276</v>
      </c>
    </row>
    <row r="163">
      <c r="A163" s="34" t="str">
        <f>IFERROR(__xludf.DUMMYFUNCTION("""COMPUTED_VALUE"""),"LAMPU EXIT KANAN")</f>
        <v>LAMPU EXIT KANAN</v>
      </c>
      <c r="B163" s="34">
        <f>IFERROR(__xludf.DUMMYFUNCTION("""COMPUTED_VALUE"""),15.0)</f>
        <v>15</v>
      </c>
      <c r="C163" s="34" t="str">
        <f>IFERROR(__xludf.DUMMYFUNCTION("""COMPUTED_VALUE"""),"G5")</f>
        <v>G5</v>
      </c>
      <c r="D163" s="34" t="str">
        <f>IFERROR(__xludf.DUMMYFUNCTION("""COMPUTED_VALUE"""),"A0160")</f>
        <v>A0160</v>
      </c>
      <c r="E163" s="35">
        <f>IFERROR(__xludf.DUMMYFUNCTION("""COMPUTED_VALUE"""),337995.0)</f>
        <v>337995</v>
      </c>
    </row>
    <row r="164">
      <c r="A164" s="34" t="str">
        <f>IFERROR(__xludf.DUMMYFUNCTION("""COMPUTED_VALUE"""),"CAT EPODUR BRIGHT BLUE")</f>
        <v>CAT EPODUR BRIGHT BLUE</v>
      </c>
      <c r="B164" s="34">
        <f>IFERROR(__xludf.DUMMYFUNCTION("""COMPUTED_VALUE"""),15.0)</f>
        <v>15</v>
      </c>
      <c r="C164" s="34" t="str">
        <f>IFERROR(__xludf.DUMMYFUNCTION("""COMPUTED_VALUE"""),"G5")</f>
        <v>G5</v>
      </c>
      <c r="D164" s="34" t="str">
        <f>IFERROR(__xludf.DUMMYFUNCTION("""COMPUTED_VALUE"""),"A0161")</f>
        <v>A0161</v>
      </c>
      <c r="E164" s="35">
        <f>IFERROR(__xludf.DUMMYFUNCTION("""COMPUTED_VALUE"""),245310.0)</f>
        <v>245310</v>
      </c>
    </row>
    <row r="165">
      <c r="A165" s="34" t="str">
        <f>IFERROR(__xludf.DUMMYFUNCTION("""COMPUTED_VALUE"""),"CAT EPODUR GREEN")</f>
        <v>CAT EPODUR GREEN</v>
      </c>
      <c r="B165" s="34">
        <f>IFERROR(__xludf.DUMMYFUNCTION("""COMPUTED_VALUE"""),15.0)</f>
        <v>15</v>
      </c>
      <c r="C165" s="34" t="str">
        <f>IFERROR(__xludf.DUMMYFUNCTION("""COMPUTED_VALUE"""),"G5")</f>
        <v>G5</v>
      </c>
      <c r="D165" s="34" t="str">
        <f>IFERROR(__xludf.DUMMYFUNCTION("""COMPUTED_VALUE"""),"A0162")</f>
        <v>A0162</v>
      </c>
      <c r="E165" s="35">
        <f>IFERROR(__xludf.DUMMYFUNCTION("""COMPUTED_VALUE"""),245310.0)</f>
        <v>245310</v>
      </c>
    </row>
    <row r="166">
      <c r="A166" s="34" t="str">
        <f>IFERROR(__xludf.DUMMYFUNCTION("""COMPUTED_VALUE"""),"CAT EPODUR BLACK")</f>
        <v>CAT EPODUR BLACK</v>
      </c>
      <c r="B166" s="34">
        <f>IFERROR(__xludf.DUMMYFUNCTION("""COMPUTED_VALUE"""),15.0)</f>
        <v>15</v>
      </c>
      <c r="C166" s="34" t="str">
        <f>IFERROR(__xludf.DUMMYFUNCTION("""COMPUTED_VALUE"""),"G5")</f>
        <v>G5</v>
      </c>
      <c r="D166" s="34" t="str">
        <f>IFERROR(__xludf.DUMMYFUNCTION("""COMPUTED_VALUE"""),"A0163")</f>
        <v>A0163</v>
      </c>
      <c r="E166" s="35">
        <f>IFERROR(__xludf.DUMMYFUNCTION("""COMPUTED_VALUE"""),245310.0)</f>
        <v>245310</v>
      </c>
    </row>
    <row r="167">
      <c r="A167" s="34" t="str">
        <f>IFERROR(__xludf.DUMMYFUNCTION("""COMPUTED_VALUE"""),"KEMOCENG")</f>
        <v>KEMOCENG</v>
      </c>
      <c r="B167" s="34">
        <f>IFERROR(__xludf.DUMMYFUNCTION("""COMPUTED_VALUE"""),5.0)</f>
        <v>5</v>
      </c>
      <c r="C167" s="34" t="str">
        <f>IFERROR(__xludf.DUMMYFUNCTION("""COMPUTED_VALUE"""),"G5")</f>
        <v>G5</v>
      </c>
      <c r="D167" s="34" t="str">
        <f>IFERROR(__xludf.DUMMYFUNCTION("""COMPUTED_VALUE"""),"A0164")</f>
        <v>A0164</v>
      </c>
      <c r="E167" s="35">
        <f>IFERROR(__xludf.DUMMYFUNCTION("""COMPUTED_VALUE"""),111000.0)</f>
        <v>111000</v>
      </c>
    </row>
    <row r="168">
      <c r="A168" s="34" t="str">
        <f>IFERROR(__xludf.DUMMYFUNCTION("""COMPUTED_VALUE"""),"SALONPAS")</f>
        <v>SALONPAS</v>
      </c>
      <c r="B168" s="34">
        <f>IFERROR(__xludf.DUMMYFUNCTION("""COMPUTED_VALUE"""),15.0)</f>
        <v>15</v>
      </c>
      <c r="C168" s="34" t="str">
        <f>IFERROR(__xludf.DUMMYFUNCTION("""COMPUTED_VALUE"""),"G2 ATAS")</f>
        <v>G2 ATAS</v>
      </c>
      <c r="D168" s="34" t="str">
        <f>IFERROR(__xludf.DUMMYFUNCTION("""COMPUTED_VALUE"""),"A0165")</f>
        <v>A0165</v>
      </c>
      <c r="E168" s="35">
        <f>IFERROR(__xludf.DUMMYFUNCTION("""COMPUTED_VALUE"""),12843.0)</f>
        <v>12843</v>
      </c>
    </row>
    <row r="169">
      <c r="A169" s="34" t="str">
        <f>IFERROR(__xludf.DUMMYFUNCTION("""COMPUTED_VALUE"""),"ISI CUTTER")</f>
        <v>ISI CUTTER</v>
      </c>
      <c r="B169" s="34">
        <f>IFERROR(__xludf.DUMMYFUNCTION("""COMPUTED_VALUE"""),12.0)</f>
        <v>12</v>
      </c>
      <c r="C169" s="34" t="str">
        <f>IFERROR(__xludf.DUMMYFUNCTION("""COMPUTED_VALUE"""),"G2 ATAS")</f>
        <v>G2 ATAS</v>
      </c>
      <c r="D169" s="34" t="str">
        <f>IFERROR(__xludf.DUMMYFUNCTION("""COMPUTED_VALUE"""),"A0166")</f>
        <v>A0166</v>
      </c>
      <c r="E169" s="35">
        <f>IFERROR(__xludf.DUMMYFUNCTION("""COMPUTED_VALUE"""),6500.0)</f>
        <v>6500</v>
      </c>
    </row>
    <row r="170">
      <c r="A170" s="34" t="str">
        <f>IFERROR(__xludf.DUMMYFUNCTION("""COMPUTED_VALUE"""),"KOTAK SAMPAH KECIL")</f>
        <v>KOTAK SAMPAH KECIL</v>
      </c>
      <c r="B170" s="34">
        <f>IFERROR(__xludf.DUMMYFUNCTION("""COMPUTED_VALUE"""),15.0)</f>
        <v>15</v>
      </c>
      <c r="C170" s="34" t="str">
        <f>IFERROR(__xludf.DUMMYFUNCTION("""COMPUTED_VALUE"""),"G5")</f>
        <v>G5</v>
      </c>
      <c r="D170" s="34" t="str">
        <f>IFERROR(__xludf.DUMMYFUNCTION("""COMPUTED_VALUE"""),"A0167")</f>
        <v>A0167</v>
      </c>
      <c r="E170" s="35">
        <f>IFERROR(__xludf.DUMMYFUNCTION("""COMPUTED_VALUE"""),38850.0)</f>
        <v>38850</v>
      </c>
    </row>
    <row r="171">
      <c r="A171" s="34" t="str">
        <f>IFERROR(__xludf.DUMMYFUNCTION("""COMPUTED_VALUE"""),"PEMBERSIH KACA")</f>
        <v>PEMBERSIH KACA</v>
      </c>
      <c r="B171" s="34">
        <f>IFERROR(__xludf.DUMMYFUNCTION("""COMPUTED_VALUE"""),2.0)</f>
        <v>2</v>
      </c>
      <c r="C171" s="34" t="str">
        <f>IFERROR(__xludf.DUMMYFUNCTION("""COMPUTED_VALUE"""),"G5")</f>
        <v>G5</v>
      </c>
      <c r="D171" s="34" t="str">
        <f>IFERROR(__xludf.DUMMYFUNCTION("""COMPUTED_VALUE"""),"A0168")</f>
        <v>A0168</v>
      </c>
      <c r="E171" s="35">
        <f>IFERROR(__xludf.DUMMYFUNCTION("""COMPUTED_VALUE"""),15501.0)</f>
        <v>15501</v>
      </c>
    </row>
    <row r="172">
      <c r="A172" s="34" t="str">
        <f>IFERROR(__xludf.DUMMYFUNCTION("""COMPUTED_VALUE"""),"SIKAT CLOSET")</f>
        <v>SIKAT CLOSET</v>
      </c>
      <c r="B172" s="34">
        <f>IFERROR(__xludf.DUMMYFUNCTION("""COMPUTED_VALUE"""),15.0)</f>
        <v>15</v>
      </c>
      <c r="C172" s="34" t="str">
        <f>IFERROR(__xludf.DUMMYFUNCTION("""COMPUTED_VALUE"""),"G5")</f>
        <v>G5</v>
      </c>
      <c r="D172" s="34" t="str">
        <f>IFERROR(__xludf.DUMMYFUNCTION("""COMPUTED_VALUE"""),"A0169")</f>
        <v>A0169</v>
      </c>
      <c r="E172" s="35">
        <f>IFERROR(__xludf.DUMMYFUNCTION("""COMPUTED_VALUE"""),12843.0)</f>
        <v>12843</v>
      </c>
    </row>
    <row r="173">
      <c r="A173" s="34" t="str">
        <f>IFERROR(__xludf.DUMMYFUNCTION("""COMPUTED_VALUE"""),"KANEBO")</f>
        <v>KANEBO</v>
      </c>
      <c r="B173" s="34">
        <f>IFERROR(__xludf.DUMMYFUNCTION("""COMPUTED_VALUE"""),15.0)</f>
        <v>15</v>
      </c>
      <c r="C173" s="34" t="str">
        <f>IFERROR(__xludf.DUMMYFUNCTION("""COMPUTED_VALUE"""),"G5")</f>
        <v>G5</v>
      </c>
      <c r="D173" s="34" t="str">
        <f>IFERROR(__xludf.DUMMYFUNCTION("""COMPUTED_VALUE"""),"A0170")</f>
        <v>A0170</v>
      </c>
      <c r="E173" s="35">
        <f>IFERROR(__xludf.DUMMYFUNCTION("""COMPUTED_VALUE"""),15000.0)</f>
        <v>15000</v>
      </c>
    </row>
    <row r="174">
      <c r="A174" s="34" t="str">
        <f>IFERROR(__xludf.DUMMYFUNCTION("""COMPUTED_VALUE"""),"SHAMPO MOBIL")</f>
        <v>SHAMPO MOBIL</v>
      </c>
      <c r="B174" s="34">
        <f>IFERROR(__xludf.DUMMYFUNCTION("""COMPUTED_VALUE"""),2.0)</f>
        <v>2</v>
      </c>
      <c r="C174" s="34" t="str">
        <f>IFERROR(__xludf.DUMMYFUNCTION("""COMPUTED_VALUE"""),"G5")</f>
        <v>G5</v>
      </c>
      <c r="D174" s="34" t="str">
        <f>IFERROR(__xludf.DUMMYFUNCTION("""COMPUTED_VALUE"""),"A0171")</f>
        <v>A0171</v>
      </c>
      <c r="E174" s="35">
        <f>IFERROR(__xludf.DUMMYFUNCTION("""COMPUTED_VALUE"""),70000.0)</f>
        <v>70000</v>
      </c>
    </row>
    <row r="175">
      <c r="A175" s="34" t="str">
        <f>IFERROR(__xludf.DUMMYFUNCTION("""COMPUTED_VALUE"""),"PEMBOLONG KERTAS")</f>
        <v>PEMBOLONG KERTAS</v>
      </c>
      <c r="B175" s="34">
        <f>IFERROR(__xludf.DUMMYFUNCTION("""COMPUTED_VALUE"""),3.0)</f>
        <v>3</v>
      </c>
      <c r="C175" s="34" t="str">
        <f>IFERROR(__xludf.DUMMYFUNCTION("""COMPUTED_VALUE"""),"G5")</f>
        <v>G5</v>
      </c>
      <c r="D175" s="34" t="str">
        <f>IFERROR(__xludf.DUMMYFUNCTION("""COMPUTED_VALUE"""),"A0172")</f>
        <v>A0172</v>
      </c>
      <c r="E175" s="35">
        <f>IFERROR(__xludf.DUMMYFUNCTION("""COMPUTED_VALUE"""),20000.0)</f>
        <v>20000</v>
      </c>
    </row>
    <row r="176">
      <c r="A176" s="34" t="str">
        <f>IFERROR(__xludf.DUMMYFUNCTION("""COMPUTED_VALUE"""),"COMPOUND")</f>
        <v>COMPOUND</v>
      </c>
      <c r="B176" s="34">
        <f>IFERROR(__xludf.DUMMYFUNCTION("""COMPUTED_VALUE"""),5.0)</f>
        <v>5</v>
      </c>
      <c r="C176" s="34" t="str">
        <f>IFERROR(__xludf.DUMMYFUNCTION("""COMPUTED_VALUE"""),"G5")</f>
        <v>G5</v>
      </c>
      <c r="D176" s="34" t="str">
        <f>IFERROR(__xludf.DUMMYFUNCTION("""COMPUTED_VALUE"""),"A0173")</f>
        <v>A0173</v>
      </c>
      <c r="E176" s="35">
        <f>IFERROR(__xludf.DUMMYFUNCTION("""COMPUTED_VALUE"""),0.0)</f>
        <v>0</v>
      </c>
    </row>
    <row r="177">
      <c r="A177" s="34" t="str">
        <f>IFERROR(__xludf.DUMMYFUNCTION("""COMPUTED_VALUE"""),"INSTO")</f>
        <v>INSTO</v>
      </c>
      <c r="B177" s="34">
        <f>IFERROR(__xludf.DUMMYFUNCTION("""COMPUTED_VALUE"""),10.0)</f>
        <v>10</v>
      </c>
      <c r="C177" s="34" t="str">
        <f>IFERROR(__xludf.DUMMYFUNCTION("""COMPUTED_VALUE"""),"G2 ATAS")</f>
        <v>G2 ATAS</v>
      </c>
      <c r="D177" s="34" t="str">
        <f>IFERROR(__xludf.DUMMYFUNCTION("""COMPUTED_VALUE"""),"A0174")</f>
        <v>A0174</v>
      </c>
      <c r="E177" s="35">
        <f>IFERROR(__xludf.DUMMYFUNCTION("""COMPUTED_VALUE"""),19980.0)</f>
        <v>19980</v>
      </c>
    </row>
    <row r="178">
      <c r="A178" s="34" t="str">
        <f>IFERROR(__xludf.DUMMYFUNCTION("""COMPUTED_VALUE"""),"GLADE ")</f>
        <v>GLADE </v>
      </c>
      <c r="B178" s="34">
        <f>IFERROR(__xludf.DUMMYFUNCTION("""COMPUTED_VALUE"""),10.0)</f>
        <v>10</v>
      </c>
      <c r="C178" s="34" t="str">
        <f>IFERROR(__xludf.DUMMYFUNCTION("""COMPUTED_VALUE"""),"G5")</f>
        <v>G5</v>
      </c>
      <c r="D178" s="34" t="str">
        <f>IFERROR(__xludf.DUMMYFUNCTION("""COMPUTED_VALUE"""),"A0175")</f>
        <v>A0175</v>
      </c>
      <c r="E178" s="35">
        <f>IFERROR(__xludf.DUMMYFUNCTION("""COMPUTED_VALUE"""),32000.0)</f>
        <v>32000</v>
      </c>
    </row>
    <row r="179">
      <c r="A179" s="34" t="str">
        <f>IFERROR(__xludf.DUMMYFUNCTION("""COMPUTED_VALUE"""),"KUNCI SLOT KAMAR MANDI")</f>
        <v>KUNCI SLOT KAMAR MANDI</v>
      </c>
      <c r="B179" s="34">
        <f>IFERROR(__xludf.DUMMYFUNCTION("""COMPUTED_VALUE"""),10.0)</f>
        <v>10</v>
      </c>
      <c r="C179" s="34" t="str">
        <f>IFERROR(__xludf.DUMMYFUNCTION("""COMPUTED_VALUE"""),"G5")</f>
        <v>G5</v>
      </c>
      <c r="D179" s="34" t="str">
        <f>IFERROR(__xludf.DUMMYFUNCTION("""COMPUTED_VALUE"""),"A0176")</f>
        <v>A0176</v>
      </c>
      <c r="E179" s="35">
        <f>IFERROR(__xludf.DUMMYFUNCTION("""COMPUTED_VALUE"""),2500.0)</f>
        <v>2500</v>
      </c>
    </row>
    <row r="180">
      <c r="A180" s="34" t="str">
        <f>IFERROR(__xludf.DUMMYFUNCTION("""COMPUTED_VALUE"""),"PIRING MAKAN")</f>
        <v>PIRING MAKAN</v>
      </c>
      <c r="B180" s="34">
        <f>IFERROR(__xludf.DUMMYFUNCTION("""COMPUTED_VALUE"""),50.0)</f>
        <v>50</v>
      </c>
      <c r="C180" s="34" t="str">
        <f>IFERROR(__xludf.DUMMYFUNCTION("""COMPUTED_VALUE"""),"F2")</f>
        <v>F2</v>
      </c>
      <c r="D180" s="34" t="str">
        <f>IFERROR(__xludf.DUMMYFUNCTION("""COMPUTED_VALUE"""),"A0177")</f>
        <v>A0177</v>
      </c>
      <c r="E180" s="35">
        <f>IFERROR(__xludf.DUMMYFUNCTION("""COMPUTED_VALUE"""),31136.0)</f>
        <v>31136</v>
      </c>
    </row>
    <row r="181">
      <c r="A181" s="34" t="str">
        <f>IFERROR(__xludf.DUMMYFUNCTION("""COMPUTED_VALUE"""),"SENDOK MAKAN")</f>
        <v>SENDOK MAKAN</v>
      </c>
      <c r="B181" s="34">
        <f>IFERROR(__xludf.DUMMYFUNCTION("""COMPUTED_VALUE"""),50.0)</f>
        <v>50</v>
      </c>
      <c r="C181" s="34" t="str">
        <f>IFERROR(__xludf.DUMMYFUNCTION("""COMPUTED_VALUE"""),"F2")</f>
        <v>F2</v>
      </c>
      <c r="D181" s="34" t="str">
        <f>IFERROR(__xludf.DUMMYFUNCTION("""COMPUTED_VALUE"""),"A0178")</f>
        <v>A0178</v>
      </c>
      <c r="E181" s="35">
        <f>IFERROR(__xludf.DUMMYFUNCTION("""COMPUTED_VALUE"""),24087.0)</f>
        <v>24087</v>
      </c>
    </row>
    <row r="182">
      <c r="A182" s="34" t="str">
        <f>IFERROR(__xludf.DUMMYFUNCTION("""COMPUTED_VALUE"""),"GARPU")</f>
        <v>GARPU</v>
      </c>
      <c r="B182" s="34">
        <f>IFERROR(__xludf.DUMMYFUNCTION("""COMPUTED_VALUE"""),50.0)</f>
        <v>50</v>
      </c>
      <c r="C182" s="34" t="str">
        <f>IFERROR(__xludf.DUMMYFUNCTION("""COMPUTED_VALUE"""),"F2")</f>
        <v>F2</v>
      </c>
      <c r="D182" s="34" t="str">
        <f>IFERROR(__xludf.DUMMYFUNCTION("""COMPUTED_VALUE"""),"A0179")</f>
        <v>A0179</v>
      </c>
      <c r="E182" s="35">
        <f>IFERROR(__xludf.DUMMYFUNCTION("""COMPUTED_VALUE"""),24087.0)</f>
        <v>24087</v>
      </c>
    </row>
    <row r="183">
      <c r="A183" s="34" t="str">
        <f>IFERROR(__xludf.DUMMYFUNCTION("""COMPUTED_VALUE"""),"GELAS STAINLES")</f>
        <v>GELAS STAINLES</v>
      </c>
      <c r="B183" s="34">
        <f>IFERROR(__xludf.DUMMYFUNCTION("""COMPUTED_VALUE"""),50.0)</f>
        <v>50</v>
      </c>
      <c r="C183" s="34" t="str">
        <f>IFERROR(__xludf.DUMMYFUNCTION("""COMPUTED_VALUE"""),"F2")</f>
        <v>F2</v>
      </c>
      <c r="D183" s="34" t="str">
        <f>IFERROR(__xludf.DUMMYFUNCTION("""COMPUTED_VALUE"""),"A0180")</f>
        <v>A0180</v>
      </c>
      <c r="E183" s="35">
        <f>IFERROR(__xludf.DUMMYFUNCTION("""COMPUTED_VALUE"""),18891.0)</f>
        <v>18891</v>
      </c>
    </row>
    <row r="184">
      <c r="A184" s="34" t="str">
        <f>IFERROR(__xludf.DUMMYFUNCTION("""COMPUTED_VALUE"""),"STIKER FOOM")</f>
        <v>STIKER FOOM</v>
      </c>
      <c r="B184" s="34">
        <f>IFERROR(__xludf.DUMMYFUNCTION("""COMPUTED_VALUE"""),50.0)</f>
        <v>50</v>
      </c>
      <c r="C184" s="34" t="str">
        <f>IFERROR(__xludf.DUMMYFUNCTION("""COMPUTED_VALUE"""),"F2")</f>
        <v>F2</v>
      </c>
      <c r="D184" s="34" t="str">
        <f>IFERROR(__xludf.DUMMYFUNCTION("""COMPUTED_VALUE"""),"A0181")</f>
        <v>A0181</v>
      </c>
      <c r="E184" s="35">
        <f>IFERROR(__xludf.DUMMYFUNCTION("""COMPUTED_VALUE"""),1000.0)</f>
        <v>1000</v>
      </c>
    </row>
    <row r="185">
      <c r="A185" s="34" t="str">
        <f>IFERROR(__xludf.DUMMYFUNCTION("""COMPUTED_VALUE"""),"HELM PROYEK PUTIH")</f>
        <v>HELM PROYEK PUTIH</v>
      </c>
      <c r="B185" s="34">
        <f>IFERROR(__xludf.DUMMYFUNCTION("""COMPUTED_VALUE"""),10.0)</f>
        <v>10</v>
      </c>
      <c r="C185" s="34" t="str">
        <f>IFERROR(__xludf.DUMMYFUNCTION("""COMPUTED_VALUE"""),"G5")</f>
        <v>G5</v>
      </c>
      <c r="D185" s="34" t="str">
        <f>IFERROR(__xludf.DUMMYFUNCTION("""COMPUTED_VALUE"""),"A0182")</f>
        <v>A0182</v>
      </c>
      <c r="E185" s="35">
        <f>IFERROR(__xludf.DUMMYFUNCTION("""COMPUTED_VALUE"""),0.0)</f>
        <v>0</v>
      </c>
    </row>
    <row r="186">
      <c r="A186" s="34" t="str">
        <f>IFERROR(__xludf.DUMMYFUNCTION("""COMPUTED_VALUE"""),"WASTAFEL LEHER ANGSA")</f>
        <v>WASTAFEL LEHER ANGSA</v>
      </c>
      <c r="B186" s="34">
        <f>IFERROR(__xludf.DUMMYFUNCTION("""COMPUTED_VALUE"""),10.0)</f>
        <v>10</v>
      </c>
      <c r="C186" s="34" t="str">
        <f>IFERROR(__xludf.DUMMYFUNCTION("""COMPUTED_VALUE"""),"G5")</f>
        <v>G5</v>
      </c>
      <c r="D186" s="34" t="str">
        <f>IFERROR(__xludf.DUMMYFUNCTION("""COMPUTED_VALUE"""),"A0183")</f>
        <v>A0183</v>
      </c>
      <c r="E186" s="35">
        <f>IFERROR(__xludf.DUMMYFUNCTION("""COMPUTED_VALUE"""),0.0)</f>
        <v>0</v>
      </c>
    </row>
    <row r="187">
      <c r="A187" s="34" t="str">
        <f>IFERROR(__xludf.DUMMYFUNCTION("""COMPUTED_VALUE"""),"METERAN")</f>
        <v>METERAN</v>
      </c>
      <c r="B187" s="34">
        <f>IFERROR(__xludf.DUMMYFUNCTION("""COMPUTED_VALUE"""),1.0)</f>
        <v>1</v>
      </c>
      <c r="C187" s="34" t="str">
        <f>IFERROR(__xludf.DUMMYFUNCTION("""COMPUTED_VALUE"""),"G5")</f>
        <v>G5</v>
      </c>
      <c r="D187" s="34" t="str">
        <f>IFERROR(__xludf.DUMMYFUNCTION("""COMPUTED_VALUE"""),"A0184")</f>
        <v>A0184</v>
      </c>
      <c r="E187" s="35">
        <f>IFERROR(__xludf.DUMMYFUNCTION("""COMPUTED_VALUE"""),0.0)</f>
        <v>0</v>
      </c>
    </row>
    <row r="188">
      <c r="A188" s="34" t="str">
        <f>IFERROR(__xludf.DUMMYFUNCTION("""COMPUTED_VALUE"""),"SENDOK SEMEN")</f>
        <v>SENDOK SEMEN</v>
      </c>
      <c r="B188" s="34">
        <f>IFERROR(__xludf.DUMMYFUNCTION("""COMPUTED_VALUE"""),1.0)</f>
        <v>1</v>
      </c>
      <c r="C188" s="34" t="str">
        <f>IFERROR(__xludf.DUMMYFUNCTION("""COMPUTED_VALUE"""),"G5")</f>
        <v>G5</v>
      </c>
      <c r="D188" s="34" t="str">
        <f>IFERROR(__xludf.DUMMYFUNCTION("""COMPUTED_VALUE"""),"A0185")</f>
        <v>A0185</v>
      </c>
      <c r="E188" s="35">
        <f>IFERROR(__xludf.DUMMYFUNCTION("""COMPUTED_VALUE"""),0.0)</f>
        <v>0</v>
      </c>
    </row>
    <row r="189">
      <c r="A189" s="34" t="str">
        <f>IFERROR(__xludf.DUMMYFUNCTION("""COMPUTED_VALUE"""),"FLOOR DRAIN")</f>
        <v>FLOOR DRAIN</v>
      </c>
      <c r="B189" s="34">
        <f>IFERROR(__xludf.DUMMYFUNCTION("""COMPUTED_VALUE"""),1.0)</f>
        <v>1</v>
      </c>
      <c r="C189" s="34" t="str">
        <f>IFERROR(__xludf.DUMMYFUNCTION("""COMPUTED_VALUE"""),"G5")</f>
        <v>G5</v>
      </c>
      <c r="D189" s="34" t="str">
        <f>IFERROR(__xludf.DUMMYFUNCTION("""COMPUTED_VALUE"""),"A0186")</f>
        <v>A0186</v>
      </c>
      <c r="E189" s="35">
        <f>IFERROR(__xludf.DUMMYFUNCTION("""COMPUTED_VALUE"""),0.0)</f>
        <v>0</v>
      </c>
    </row>
    <row r="190">
      <c r="A190" s="34" t="str">
        <f>IFERROR(__xludf.DUMMYFUNCTION("""COMPUTED_VALUE"""),"LASERJET BLACK")</f>
        <v>LASERJET BLACK</v>
      </c>
      <c r="B190" s="34">
        <f>IFERROR(__xludf.DUMMYFUNCTION("""COMPUTED_VALUE"""),1.0)</f>
        <v>1</v>
      </c>
      <c r="C190" s="34" t="str">
        <f>IFERROR(__xludf.DUMMYFUNCTION("""COMPUTED_VALUE"""),"G5")</f>
        <v>G5</v>
      </c>
      <c r="D190" s="34" t="str">
        <f>IFERROR(__xludf.DUMMYFUNCTION("""COMPUTED_VALUE"""),"A0187")</f>
        <v>A0187</v>
      </c>
      <c r="E190" s="35">
        <f>IFERROR(__xludf.DUMMYFUNCTION("""COMPUTED_VALUE"""),0.0)</f>
        <v>0</v>
      </c>
    </row>
    <row r="191">
      <c r="A191" s="34" t="str">
        <f>IFERROR(__xludf.DUMMYFUNCTION("""COMPUTED_VALUE"""),"KONTAINER FOOD")</f>
        <v>KONTAINER FOOD</v>
      </c>
      <c r="B191" s="34">
        <f>IFERROR(__xludf.DUMMYFUNCTION("""COMPUTED_VALUE"""),1.0)</f>
        <v>1</v>
      </c>
      <c r="C191" s="34" t="str">
        <f>IFERROR(__xludf.DUMMYFUNCTION("""COMPUTED_VALUE"""),"F2")</f>
        <v>F2</v>
      </c>
      <c r="D191" s="34" t="str">
        <f>IFERROR(__xludf.DUMMYFUNCTION("""COMPUTED_VALUE"""),"A0188")</f>
        <v>A0188</v>
      </c>
      <c r="E191" s="35">
        <f>IFERROR(__xludf.DUMMYFUNCTION("""COMPUTED_VALUE"""),0.0)</f>
        <v>0</v>
      </c>
    </row>
    <row r="192">
      <c r="A192" s="34" t="str">
        <f>IFERROR(__xludf.DUMMYFUNCTION("""COMPUTED_VALUE"""),"TEMPAT RAK PAYUNG")</f>
        <v>TEMPAT RAK PAYUNG</v>
      </c>
      <c r="B192" s="34">
        <f>IFERROR(__xludf.DUMMYFUNCTION("""COMPUTED_VALUE"""),1.0)</f>
        <v>1</v>
      </c>
      <c r="C192" s="34" t="str">
        <f>IFERROR(__xludf.DUMMYFUNCTION("""COMPUTED_VALUE"""),"G5")</f>
        <v>G5</v>
      </c>
      <c r="D192" s="34" t="str">
        <f>IFERROR(__xludf.DUMMYFUNCTION("""COMPUTED_VALUE"""),"A0189")</f>
        <v>A0189</v>
      </c>
      <c r="E192" s="35">
        <f>IFERROR(__xludf.DUMMYFUNCTION("""COMPUTED_VALUE"""),0.0)</f>
        <v>0</v>
      </c>
    </row>
    <row r="193">
      <c r="A193" s="34" t="str">
        <f>IFERROR(__xludf.DUMMYFUNCTION("""COMPUTED_VALUE"""),"KESET")</f>
        <v>KESET</v>
      </c>
      <c r="B193" s="34">
        <f>IFERROR(__xludf.DUMMYFUNCTION("""COMPUTED_VALUE"""),1.0)</f>
        <v>1</v>
      </c>
      <c r="C193" s="34" t="str">
        <f>IFERROR(__xludf.DUMMYFUNCTION("""COMPUTED_VALUE"""),"G5")</f>
        <v>G5</v>
      </c>
      <c r="D193" s="34" t="str">
        <f>IFERROR(__xludf.DUMMYFUNCTION("""COMPUTED_VALUE"""),"A0190")</f>
        <v>A0190</v>
      </c>
      <c r="E193" s="35">
        <f>IFERROR(__xludf.DUMMYFUNCTION("""COMPUTED_VALUE"""),0.0)</f>
        <v>0</v>
      </c>
    </row>
    <row r="194">
      <c r="A194" s="34" t="str">
        <f>IFERROR(__xludf.DUMMYFUNCTION("""COMPUTED_VALUE"""),"SANDAL")</f>
        <v>SANDAL</v>
      </c>
      <c r="B194" s="34">
        <f>IFERROR(__xludf.DUMMYFUNCTION("""COMPUTED_VALUE"""),1.0)</f>
        <v>1</v>
      </c>
      <c r="C194" s="34" t="str">
        <f>IFERROR(__xludf.DUMMYFUNCTION("""COMPUTED_VALUE"""),"G5")</f>
        <v>G5</v>
      </c>
      <c r="D194" s="34" t="str">
        <f>IFERROR(__xludf.DUMMYFUNCTION("""COMPUTED_VALUE"""),"A0191")</f>
        <v>A0191</v>
      </c>
      <c r="E194" s="35">
        <f>IFERROR(__xludf.DUMMYFUNCTION("""COMPUTED_VALUE"""),0.0)</f>
        <v>0</v>
      </c>
    </row>
    <row r="195">
      <c r="A195" s="34" t="str">
        <f>IFERROR(__xludf.DUMMYFUNCTION("""COMPUTED_VALUE"""),"SANDAL LAB")</f>
        <v>SANDAL LAB</v>
      </c>
      <c r="B195" s="34">
        <f>IFERROR(__xludf.DUMMYFUNCTION("""COMPUTED_VALUE"""),1.0)</f>
        <v>1</v>
      </c>
      <c r="C195" s="34" t="str">
        <f>IFERROR(__xludf.DUMMYFUNCTION("""COMPUTED_VALUE"""),"G5")</f>
        <v>G5</v>
      </c>
      <c r="D195" s="34" t="str">
        <f>IFERROR(__xludf.DUMMYFUNCTION("""COMPUTED_VALUE"""),"A0192")</f>
        <v>A0192</v>
      </c>
      <c r="E195" s="35">
        <f>IFERROR(__xludf.DUMMYFUNCTION("""COMPUTED_VALUE"""),0.0)</f>
        <v>0</v>
      </c>
    </row>
    <row r="196">
      <c r="A196" s="34"/>
      <c r="B196" s="34"/>
      <c r="C196" s="34"/>
      <c r="D196" s="34"/>
      <c r="E196" s="35"/>
    </row>
    <row r="197">
      <c r="A197" s="34"/>
      <c r="B197" s="34"/>
      <c r="C197" s="34"/>
      <c r="D197" s="34"/>
      <c r="E197" s="35"/>
    </row>
    <row r="198">
      <c r="A198" s="34"/>
      <c r="B198" s="34"/>
      <c r="C198" s="34"/>
      <c r="D198" s="34"/>
      <c r="E198" s="35"/>
    </row>
    <row r="199">
      <c r="A199" s="34"/>
      <c r="B199" s="34"/>
      <c r="C199" s="34"/>
      <c r="D199" s="34"/>
      <c r="E199" s="35"/>
    </row>
    <row r="200">
      <c r="A200" s="34"/>
      <c r="B200" s="34"/>
      <c r="C200" s="34"/>
      <c r="D200" s="34"/>
      <c r="E200" s="35"/>
    </row>
    <row r="201">
      <c r="A201" s="34"/>
      <c r="B201" s="34"/>
      <c r="C201" s="34"/>
      <c r="D201" s="34"/>
      <c r="E201" s="35"/>
    </row>
    <row r="202">
      <c r="A202" s="34"/>
      <c r="B202" s="34"/>
      <c r="C202" s="34"/>
      <c r="D202" s="34"/>
      <c r="E202" s="35"/>
    </row>
    <row r="203">
      <c r="A203" s="34"/>
      <c r="B203" s="34"/>
      <c r="C203" s="34"/>
      <c r="D203" s="34"/>
      <c r="E203" s="35"/>
    </row>
    <row r="204">
      <c r="A204" s="34"/>
      <c r="B204" s="34"/>
      <c r="C204" s="34"/>
      <c r="D204" s="34"/>
      <c r="E204" s="35"/>
    </row>
    <row r="205">
      <c r="A205" s="34"/>
      <c r="B205" s="34"/>
      <c r="C205" s="34"/>
      <c r="D205" s="34"/>
      <c r="E205" s="35"/>
    </row>
    <row r="206">
      <c r="A206" s="34"/>
      <c r="B206" s="34"/>
      <c r="C206" s="34"/>
      <c r="D206" s="34"/>
      <c r="E206" s="35"/>
    </row>
    <row r="207">
      <c r="A207" s="34"/>
      <c r="B207" s="34"/>
      <c r="C207" s="34"/>
      <c r="D207" s="34"/>
      <c r="E207" s="35"/>
    </row>
    <row r="208">
      <c r="A208" s="34"/>
      <c r="B208" s="34"/>
      <c r="C208" s="34"/>
      <c r="D208" s="34"/>
      <c r="E208" s="35"/>
    </row>
    <row r="209">
      <c r="A209" s="34"/>
      <c r="B209" s="34"/>
      <c r="C209" s="34"/>
      <c r="D209" s="34"/>
      <c r="E209" s="35"/>
    </row>
    <row r="210">
      <c r="A210" s="34"/>
      <c r="B210" s="34"/>
      <c r="C210" s="34"/>
      <c r="D210" s="34"/>
      <c r="E210" s="35"/>
    </row>
    <row r="211">
      <c r="A211" s="34"/>
      <c r="B211" s="34"/>
      <c r="C211" s="34"/>
      <c r="D211" s="34"/>
      <c r="E211" s="35"/>
    </row>
    <row r="212">
      <c r="A212" s="34"/>
      <c r="B212" s="34"/>
      <c r="C212" s="34"/>
      <c r="D212" s="34"/>
      <c r="E212" s="35"/>
    </row>
    <row r="213">
      <c r="A213" s="34"/>
      <c r="B213" s="34"/>
      <c r="C213" s="34"/>
      <c r="D213" s="34"/>
      <c r="E213" s="35"/>
    </row>
    <row r="214">
      <c r="A214" s="34"/>
      <c r="B214" s="34"/>
      <c r="C214" s="34"/>
      <c r="D214" s="34"/>
      <c r="E214" s="35"/>
    </row>
    <row r="215">
      <c r="A215" s="34"/>
      <c r="B215" s="34"/>
      <c r="C215" s="34"/>
      <c r="D215" s="34"/>
      <c r="E215" s="35"/>
    </row>
    <row r="216">
      <c r="A216" s="34"/>
      <c r="B216" s="34"/>
      <c r="C216" s="34"/>
      <c r="D216" s="34"/>
      <c r="E216" s="35"/>
    </row>
    <row r="217">
      <c r="A217" s="34"/>
      <c r="B217" s="34"/>
      <c r="C217" s="34"/>
      <c r="D217" s="34"/>
      <c r="E217" s="35"/>
    </row>
    <row r="218">
      <c r="A218" s="34"/>
      <c r="B218" s="34"/>
      <c r="C218" s="34"/>
      <c r="D218" s="34"/>
      <c r="E218" s="35"/>
    </row>
    <row r="219">
      <c r="A219" s="34"/>
      <c r="B219" s="34"/>
      <c r="C219" s="34"/>
      <c r="D219" s="34"/>
      <c r="E219" s="35"/>
    </row>
    <row r="220">
      <c r="A220" s="34"/>
      <c r="B220" s="34"/>
      <c r="C220" s="34"/>
      <c r="D220" s="34"/>
      <c r="E220" s="35"/>
    </row>
    <row r="221">
      <c r="A221" s="34"/>
      <c r="B221" s="34"/>
      <c r="C221" s="34"/>
      <c r="D221" s="34"/>
      <c r="E221" s="35"/>
    </row>
    <row r="222">
      <c r="A222" s="34"/>
      <c r="B222" s="34"/>
      <c r="C222" s="34"/>
      <c r="D222" s="34"/>
      <c r="E222" s="35"/>
    </row>
    <row r="223">
      <c r="A223" s="34"/>
      <c r="B223" s="34"/>
      <c r="C223" s="34"/>
      <c r="D223" s="34"/>
      <c r="E223" s="35"/>
    </row>
    <row r="224">
      <c r="A224" s="34"/>
      <c r="B224" s="34"/>
      <c r="C224" s="34"/>
      <c r="D224" s="34"/>
      <c r="E224" s="35"/>
    </row>
    <row r="225">
      <c r="A225" s="34"/>
      <c r="B225" s="34"/>
      <c r="C225" s="34"/>
      <c r="D225" s="34"/>
      <c r="E225" s="35"/>
    </row>
    <row r="226">
      <c r="A226" s="34"/>
      <c r="B226" s="34"/>
      <c r="C226" s="34"/>
      <c r="D226" s="34"/>
      <c r="E226" s="35"/>
    </row>
    <row r="227">
      <c r="A227" s="34"/>
      <c r="B227" s="34"/>
      <c r="C227" s="34"/>
      <c r="D227" s="34"/>
      <c r="E227" s="35"/>
    </row>
    <row r="228">
      <c r="A228" s="34"/>
      <c r="B228" s="34"/>
      <c r="C228" s="34"/>
      <c r="D228" s="34"/>
      <c r="E228" s="35"/>
    </row>
    <row r="229">
      <c r="A229" s="34"/>
      <c r="B229" s="34"/>
      <c r="C229" s="34"/>
      <c r="D229" s="34"/>
      <c r="E229" s="35"/>
    </row>
    <row r="230">
      <c r="A230" s="34"/>
      <c r="B230" s="34"/>
      <c r="C230" s="34"/>
      <c r="D230" s="34"/>
      <c r="E230" s="35"/>
    </row>
    <row r="231">
      <c r="A231" s="34"/>
      <c r="B231" s="34"/>
      <c r="C231" s="34"/>
      <c r="D231" s="34"/>
      <c r="E231" s="35"/>
    </row>
    <row r="232">
      <c r="A232" s="34"/>
      <c r="B232" s="34"/>
      <c r="C232" s="34"/>
      <c r="D232" s="34"/>
      <c r="E232" s="35"/>
    </row>
    <row r="233">
      <c r="A233" s="34"/>
      <c r="B233" s="34"/>
      <c r="C233" s="34"/>
      <c r="D233" s="34"/>
      <c r="E233" s="35"/>
    </row>
    <row r="234">
      <c r="A234" s="34"/>
      <c r="B234" s="34"/>
      <c r="C234" s="34"/>
      <c r="D234" s="34"/>
      <c r="E234" s="35"/>
    </row>
    <row r="235">
      <c r="A235" s="34"/>
      <c r="B235" s="34"/>
      <c r="C235" s="34"/>
      <c r="D235" s="34"/>
      <c r="E235" s="35"/>
    </row>
    <row r="236">
      <c r="A236" s="34"/>
      <c r="B236" s="34"/>
      <c r="C236" s="34"/>
      <c r="D236" s="34"/>
      <c r="E236" s="35"/>
    </row>
    <row r="237">
      <c r="A237" s="34"/>
      <c r="B237" s="34"/>
      <c r="C237" s="34"/>
      <c r="D237" s="34"/>
      <c r="E237" s="35"/>
    </row>
    <row r="238">
      <c r="A238" s="34"/>
      <c r="B238" s="34"/>
      <c r="C238" s="34"/>
      <c r="D238" s="34"/>
      <c r="E238" s="35"/>
    </row>
    <row r="239">
      <c r="A239" s="34"/>
      <c r="B239" s="34"/>
      <c r="C239" s="34"/>
      <c r="D239" s="34"/>
      <c r="E239" s="35"/>
    </row>
    <row r="240">
      <c r="A240" s="34"/>
      <c r="B240" s="34"/>
      <c r="C240" s="34"/>
      <c r="D240" s="34"/>
      <c r="E240" s="35"/>
    </row>
    <row r="241">
      <c r="A241" s="34"/>
      <c r="B241" s="34"/>
      <c r="C241" s="34"/>
      <c r="D241" s="34"/>
      <c r="E241" s="35"/>
    </row>
    <row r="242">
      <c r="A242" s="34"/>
      <c r="B242" s="34"/>
      <c r="C242" s="34"/>
      <c r="D242" s="34"/>
      <c r="E242" s="35"/>
    </row>
    <row r="243">
      <c r="A243" s="34"/>
      <c r="B243" s="34"/>
      <c r="C243" s="34"/>
      <c r="D243" s="34"/>
      <c r="E243" s="35"/>
    </row>
    <row r="244">
      <c r="A244" s="34"/>
      <c r="B244" s="34"/>
      <c r="C244" s="34"/>
      <c r="D244" s="34"/>
      <c r="E244" s="35"/>
    </row>
    <row r="245">
      <c r="A245" s="34"/>
      <c r="B245" s="34"/>
      <c r="C245" s="34"/>
      <c r="D245" s="34"/>
      <c r="E245" s="35"/>
    </row>
    <row r="246">
      <c r="A246" s="34"/>
      <c r="B246" s="34"/>
      <c r="C246" s="34"/>
      <c r="D246" s="34"/>
      <c r="E246" s="35"/>
    </row>
    <row r="247">
      <c r="A247" s="34"/>
      <c r="B247" s="34"/>
      <c r="C247" s="34"/>
      <c r="D247" s="34"/>
      <c r="E247" s="35"/>
    </row>
    <row r="248">
      <c r="A248" s="34"/>
      <c r="B248" s="34"/>
      <c r="C248" s="34"/>
      <c r="D248" s="34"/>
      <c r="E248" s="35"/>
    </row>
    <row r="249">
      <c r="A249" s="34"/>
      <c r="B249" s="34"/>
      <c r="C249" s="34"/>
      <c r="D249" s="34"/>
      <c r="E249" s="35"/>
    </row>
    <row r="250">
      <c r="A250" s="34"/>
      <c r="B250" s="34"/>
      <c r="C250" s="34"/>
      <c r="D250" s="34"/>
      <c r="E250" s="35"/>
    </row>
    <row r="251">
      <c r="A251" s="34"/>
      <c r="B251" s="34"/>
      <c r="C251" s="34"/>
      <c r="D251" s="34"/>
      <c r="E251" s="35"/>
    </row>
    <row r="252">
      <c r="A252" s="34"/>
      <c r="B252" s="34"/>
      <c r="C252" s="34"/>
      <c r="D252" s="34"/>
      <c r="E252" s="35"/>
    </row>
    <row r="253">
      <c r="A253" s="34"/>
      <c r="B253" s="34"/>
      <c r="C253" s="34"/>
      <c r="D253" s="34"/>
      <c r="E253" s="35"/>
    </row>
    <row r="254">
      <c r="A254" s="34"/>
      <c r="B254" s="34"/>
      <c r="C254" s="34"/>
      <c r="D254" s="34"/>
      <c r="E254" s="35"/>
    </row>
    <row r="255">
      <c r="A255" s="34"/>
      <c r="B255" s="34"/>
      <c r="C255" s="34"/>
      <c r="D255" s="34"/>
      <c r="E255" s="35"/>
    </row>
    <row r="256">
      <c r="A256" s="34"/>
      <c r="B256" s="34"/>
      <c r="C256" s="34"/>
      <c r="D256" s="34"/>
      <c r="E256" s="35"/>
    </row>
    <row r="257">
      <c r="A257" s="34"/>
      <c r="B257" s="34"/>
      <c r="C257" s="34"/>
      <c r="D257" s="34"/>
      <c r="E257" s="35"/>
    </row>
    <row r="258">
      <c r="A258" s="34"/>
      <c r="B258" s="34"/>
      <c r="C258" s="34"/>
      <c r="D258" s="34"/>
      <c r="E258" s="35"/>
    </row>
    <row r="259">
      <c r="A259" s="34"/>
      <c r="B259" s="34"/>
      <c r="C259" s="34"/>
      <c r="D259" s="34"/>
      <c r="E259" s="35"/>
    </row>
    <row r="260">
      <c r="A260" s="34"/>
      <c r="B260" s="34"/>
      <c r="C260" s="34"/>
      <c r="D260" s="34"/>
      <c r="E260" s="35"/>
    </row>
    <row r="261">
      <c r="A261" s="34"/>
      <c r="B261" s="34"/>
      <c r="C261" s="34"/>
      <c r="D261" s="34"/>
      <c r="E261" s="35"/>
    </row>
    <row r="262">
      <c r="A262" s="34"/>
      <c r="B262" s="34"/>
      <c r="C262" s="34"/>
      <c r="D262" s="34"/>
      <c r="E262" s="35"/>
    </row>
    <row r="263">
      <c r="A263" s="34"/>
      <c r="B263" s="34"/>
      <c r="C263" s="34"/>
      <c r="D263" s="34"/>
      <c r="E263" s="35"/>
    </row>
    <row r="264">
      <c r="A264" s="34"/>
      <c r="B264" s="34"/>
      <c r="C264" s="34"/>
      <c r="D264" s="34"/>
      <c r="E264" s="35"/>
    </row>
    <row r="265">
      <c r="A265" s="34"/>
      <c r="B265" s="34"/>
      <c r="C265" s="34"/>
      <c r="D265" s="34"/>
      <c r="E265" s="35"/>
    </row>
    <row r="266">
      <c r="A266" s="34"/>
      <c r="B266" s="34"/>
      <c r="C266" s="34"/>
      <c r="D266" s="34"/>
      <c r="E266" s="35"/>
    </row>
    <row r="267">
      <c r="A267" s="34"/>
      <c r="B267" s="34"/>
      <c r="C267" s="34"/>
      <c r="D267" s="34"/>
      <c r="E267" s="35"/>
    </row>
    <row r="268">
      <c r="A268" s="34"/>
      <c r="B268" s="34"/>
      <c r="C268" s="34"/>
      <c r="D268" s="34"/>
      <c r="E268" s="35"/>
    </row>
    <row r="269">
      <c r="A269" s="34"/>
      <c r="B269" s="34"/>
      <c r="C269" s="34"/>
      <c r="D269" s="34"/>
      <c r="E269" s="35"/>
    </row>
    <row r="270">
      <c r="A270" s="34"/>
      <c r="B270" s="34"/>
      <c r="C270" s="34"/>
      <c r="D270" s="34"/>
      <c r="E270" s="35"/>
    </row>
    <row r="271">
      <c r="A271" s="34"/>
      <c r="B271" s="34"/>
      <c r="C271" s="34"/>
      <c r="D271" s="34"/>
      <c r="E271" s="35"/>
    </row>
    <row r="272">
      <c r="A272" s="34"/>
      <c r="B272" s="34"/>
      <c r="C272" s="34"/>
      <c r="D272" s="34"/>
      <c r="E272" s="35"/>
    </row>
    <row r="273">
      <c r="A273" s="34"/>
      <c r="B273" s="34"/>
      <c r="C273" s="34"/>
      <c r="D273" s="34"/>
      <c r="E273" s="35"/>
    </row>
    <row r="274">
      <c r="A274" s="34"/>
      <c r="B274" s="34"/>
      <c r="C274" s="34"/>
      <c r="D274" s="34"/>
      <c r="E274" s="35"/>
    </row>
    <row r="275">
      <c r="A275" s="34"/>
      <c r="B275" s="34"/>
      <c r="C275" s="34"/>
      <c r="D275" s="34"/>
      <c r="E275" s="35"/>
    </row>
    <row r="276">
      <c r="A276" s="34"/>
      <c r="B276" s="34"/>
      <c r="C276" s="34"/>
      <c r="D276" s="34"/>
      <c r="E276" s="35"/>
    </row>
    <row r="277">
      <c r="A277" s="34"/>
      <c r="B277" s="34"/>
      <c r="C277" s="34"/>
      <c r="D277" s="34"/>
      <c r="E277" s="35"/>
    </row>
    <row r="278">
      <c r="A278" s="34"/>
      <c r="B278" s="34"/>
      <c r="C278" s="34"/>
      <c r="D278" s="34"/>
      <c r="E278" s="35"/>
    </row>
    <row r="279">
      <c r="A279" s="34"/>
      <c r="B279" s="34"/>
      <c r="C279" s="34"/>
      <c r="D279" s="34"/>
      <c r="E279" s="35"/>
    </row>
    <row r="280">
      <c r="A280" s="34"/>
      <c r="B280" s="34"/>
      <c r="C280" s="34"/>
      <c r="D280" s="34"/>
      <c r="E280" s="35"/>
    </row>
    <row r="281">
      <c r="A281" s="34"/>
      <c r="B281" s="34"/>
      <c r="C281" s="34"/>
      <c r="D281" s="34"/>
      <c r="E281" s="35"/>
    </row>
    <row r="282">
      <c r="A282" s="34"/>
      <c r="B282" s="34"/>
      <c r="C282" s="34"/>
      <c r="D282" s="34"/>
      <c r="E282" s="35"/>
    </row>
    <row r="283">
      <c r="A283" s="34"/>
      <c r="B283" s="34"/>
      <c r="C283" s="34"/>
      <c r="D283" s="34"/>
      <c r="E283" s="35"/>
    </row>
    <row r="284">
      <c r="A284" s="34"/>
      <c r="B284" s="34"/>
      <c r="C284" s="34"/>
      <c r="D284" s="34"/>
      <c r="E284" s="35"/>
    </row>
    <row r="285">
      <c r="A285" s="34"/>
      <c r="B285" s="34"/>
      <c r="C285" s="34"/>
      <c r="D285" s="34"/>
      <c r="E285" s="35"/>
    </row>
    <row r="286">
      <c r="A286" s="34"/>
      <c r="B286" s="34"/>
      <c r="C286" s="34"/>
      <c r="D286" s="34"/>
      <c r="E286" s="35"/>
    </row>
    <row r="287">
      <c r="A287" s="34"/>
      <c r="B287" s="34"/>
      <c r="C287" s="34"/>
      <c r="D287" s="34"/>
      <c r="E287" s="35"/>
    </row>
    <row r="288">
      <c r="A288" s="34"/>
      <c r="B288" s="34"/>
      <c r="C288" s="34"/>
      <c r="D288" s="34"/>
      <c r="E288" s="35"/>
    </row>
    <row r="289">
      <c r="A289" s="34"/>
      <c r="B289" s="34"/>
      <c r="C289" s="34"/>
      <c r="D289" s="34"/>
      <c r="E289" s="35"/>
    </row>
    <row r="290">
      <c r="A290" s="34"/>
      <c r="B290" s="34"/>
      <c r="C290" s="34"/>
      <c r="D290" s="34"/>
      <c r="E290" s="35"/>
    </row>
    <row r="291">
      <c r="A291" s="34"/>
      <c r="B291" s="34"/>
      <c r="C291" s="34"/>
      <c r="D291" s="34"/>
      <c r="E291" s="35"/>
    </row>
    <row r="292">
      <c r="A292" s="34"/>
      <c r="B292" s="34"/>
      <c r="C292" s="34"/>
      <c r="D292" s="34"/>
      <c r="E292" s="35"/>
    </row>
    <row r="293">
      <c r="A293" s="34"/>
      <c r="B293" s="34"/>
      <c r="C293" s="34"/>
      <c r="D293" s="34"/>
      <c r="E293" s="35"/>
    </row>
    <row r="294">
      <c r="A294" s="34"/>
      <c r="B294" s="34"/>
      <c r="C294" s="34"/>
      <c r="D294" s="34"/>
      <c r="E294" s="35"/>
    </row>
    <row r="295">
      <c r="A295" s="34"/>
      <c r="B295" s="34"/>
      <c r="C295" s="34"/>
      <c r="D295" s="34"/>
      <c r="E295" s="35"/>
    </row>
    <row r="296">
      <c r="A296" s="34"/>
      <c r="B296" s="34"/>
      <c r="C296" s="34"/>
      <c r="D296" s="34"/>
      <c r="E296" s="35"/>
    </row>
    <row r="297">
      <c r="A297" s="34"/>
      <c r="B297" s="34"/>
      <c r="C297" s="34"/>
      <c r="D297" s="34"/>
      <c r="E297" s="35"/>
    </row>
    <row r="298">
      <c r="A298" s="34"/>
      <c r="B298" s="34"/>
      <c r="C298" s="34"/>
      <c r="D298" s="34"/>
      <c r="E298" s="35"/>
    </row>
    <row r="299">
      <c r="A299" s="34"/>
      <c r="B299" s="34"/>
      <c r="C299" s="34"/>
      <c r="D299" s="34"/>
      <c r="E299" s="35"/>
    </row>
    <row r="300">
      <c r="A300" s="34"/>
      <c r="B300" s="34"/>
      <c r="C300" s="34"/>
      <c r="D300" s="34"/>
      <c r="E300" s="35"/>
    </row>
    <row r="301">
      <c r="A301" s="34"/>
      <c r="B301" s="34"/>
      <c r="C301" s="34"/>
      <c r="D301" s="34"/>
      <c r="E301" s="35"/>
    </row>
    <row r="302">
      <c r="A302" s="34"/>
      <c r="B302" s="34"/>
      <c r="C302" s="34"/>
      <c r="D302" s="34"/>
      <c r="E302" s="35"/>
    </row>
    <row r="303">
      <c r="A303" s="34"/>
      <c r="B303" s="34"/>
      <c r="C303" s="34"/>
      <c r="D303" s="34"/>
      <c r="E303" s="35"/>
    </row>
    <row r="304">
      <c r="A304" s="34"/>
      <c r="B304" s="34"/>
      <c r="C304" s="34"/>
      <c r="D304" s="34"/>
      <c r="E304" s="35"/>
    </row>
    <row r="305">
      <c r="A305" s="34"/>
      <c r="B305" s="34"/>
      <c r="C305" s="34"/>
      <c r="D305" s="34"/>
      <c r="E305" s="35"/>
    </row>
    <row r="306">
      <c r="A306" s="34"/>
      <c r="B306" s="34"/>
      <c r="C306" s="34"/>
      <c r="D306" s="34"/>
      <c r="E306" s="35"/>
    </row>
    <row r="307">
      <c r="A307" s="34"/>
      <c r="B307" s="34"/>
      <c r="C307" s="34"/>
      <c r="D307" s="34"/>
      <c r="E307" s="35"/>
    </row>
    <row r="308">
      <c r="A308" s="34"/>
      <c r="B308" s="34"/>
      <c r="C308" s="34"/>
      <c r="D308" s="34"/>
      <c r="E308" s="35"/>
    </row>
    <row r="309">
      <c r="A309" s="34"/>
      <c r="B309" s="34"/>
      <c r="C309" s="34"/>
      <c r="D309" s="34"/>
      <c r="E309" s="35"/>
    </row>
    <row r="310">
      <c r="A310" s="34"/>
      <c r="B310" s="34"/>
      <c r="C310" s="34"/>
      <c r="D310" s="34"/>
      <c r="E310" s="35"/>
    </row>
    <row r="311">
      <c r="A311" s="34"/>
      <c r="B311" s="34"/>
      <c r="C311" s="34"/>
      <c r="D311" s="34"/>
      <c r="E311" s="35"/>
    </row>
    <row r="312">
      <c r="A312" s="34"/>
      <c r="B312" s="34"/>
      <c r="C312" s="34"/>
      <c r="D312" s="34"/>
      <c r="E312" s="35"/>
    </row>
    <row r="313">
      <c r="A313" s="34"/>
      <c r="B313" s="34"/>
      <c r="C313" s="34"/>
      <c r="D313" s="34"/>
      <c r="E313" s="35"/>
    </row>
    <row r="314">
      <c r="A314" s="34"/>
      <c r="B314" s="34"/>
      <c r="C314" s="34"/>
      <c r="D314" s="34"/>
      <c r="E314" s="35"/>
    </row>
    <row r="315">
      <c r="A315" s="34"/>
      <c r="B315" s="34"/>
      <c r="C315" s="34"/>
      <c r="D315" s="34"/>
      <c r="E315" s="35"/>
    </row>
    <row r="316">
      <c r="A316" s="34"/>
      <c r="B316" s="34"/>
      <c r="C316" s="34"/>
      <c r="D316" s="34"/>
      <c r="E316" s="35"/>
    </row>
    <row r="317">
      <c r="A317" s="34"/>
      <c r="B317" s="34"/>
      <c r="C317" s="34"/>
      <c r="D317" s="34"/>
      <c r="E317" s="35"/>
    </row>
    <row r="318">
      <c r="A318" s="34"/>
      <c r="B318" s="34"/>
      <c r="C318" s="34"/>
      <c r="D318" s="34"/>
      <c r="E318" s="35"/>
    </row>
    <row r="319">
      <c r="A319" s="34"/>
      <c r="B319" s="34"/>
      <c r="C319" s="34"/>
      <c r="D319" s="34"/>
      <c r="E319" s="35"/>
    </row>
    <row r="320">
      <c r="A320" s="34"/>
      <c r="B320" s="34"/>
      <c r="C320" s="34"/>
      <c r="D320" s="34"/>
      <c r="E320" s="35"/>
    </row>
    <row r="321">
      <c r="A321" s="34"/>
      <c r="B321" s="34"/>
      <c r="C321" s="34"/>
      <c r="D321" s="34"/>
      <c r="E321" s="35"/>
    </row>
    <row r="322">
      <c r="A322" s="34"/>
      <c r="B322" s="34"/>
      <c r="C322" s="34"/>
      <c r="D322" s="34"/>
      <c r="E322" s="35"/>
    </row>
    <row r="323">
      <c r="A323" s="34"/>
      <c r="B323" s="34"/>
      <c r="C323" s="34"/>
      <c r="D323" s="34"/>
      <c r="E323" s="35"/>
    </row>
    <row r="324">
      <c r="A324" s="34"/>
      <c r="B324" s="34"/>
      <c r="C324" s="34"/>
      <c r="D324" s="34"/>
      <c r="E324" s="35"/>
    </row>
    <row r="325">
      <c r="A325" s="34"/>
      <c r="B325" s="34"/>
      <c r="C325" s="34"/>
      <c r="D325" s="34"/>
      <c r="E325" s="35"/>
    </row>
    <row r="326">
      <c r="A326" s="34"/>
      <c r="B326" s="34"/>
      <c r="C326" s="34"/>
      <c r="D326" s="34"/>
      <c r="E326" s="35"/>
    </row>
    <row r="327">
      <c r="A327" s="34"/>
      <c r="B327" s="34"/>
      <c r="C327" s="34"/>
      <c r="D327" s="34"/>
      <c r="E327" s="35"/>
    </row>
    <row r="328">
      <c r="A328" s="34"/>
      <c r="B328" s="34"/>
      <c r="C328" s="34"/>
      <c r="D328" s="34"/>
      <c r="E328" s="35"/>
    </row>
    <row r="329">
      <c r="A329" s="34"/>
      <c r="B329" s="34"/>
      <c r="C329" s="34"/>
      <c r="D329" s="34"/>
      <c r="E329" s="35"/>
    </row>
    <row r="330">
      <c r="A330" s="34"/>
      <c r="B330" s="34"/>
      <c r="C330" s="34"/>
      <c r="D330" s="34"/>
      <c r="E330" s="35"/>
    </row>
    <row r="331">
      <c r="A331" s="34"/>
      <c r="B331" s="34"/>
      <c r="C331" s="34"/>
      <c r="D331" s="34"/>
      <c r="E331" s="35"/>
    </row>
    <row r="332">
      <c r="A332" s="34"/>
      <c r="B332" s="34"/>
      <c r="C332" s="34"/>
      <c r="D332" s="34"/>
      <c r="E332" s="35"/>
    </row>
    <row r="333">
      <c r="A333" s="34"/>
      <c r="B333" s="34"/>
      <c r="C333" s="34"/>
      <c r="D333" s="34"/>
      <c r="E333" s="35"/>
    </row>
    <row r="334">
      <c r="A334" s="34"/>
      <c r="B334" s="34"/>
      <c r="C334" s="34"/>
      <c r="D334" s="34"/>
      <c r="E334" s="35"/>
    </row>
    <row r="335">
      <c r="A335" s="34"/>
      <c r="B335" s="34"/>
      <c r="C335" s="34"/>
      <c r="D335" s="34"/>
      <c r="E335" s="35"/>
    </row>
    <row r="336">
      <c r="A336" s="34"/>
      <c r="B336" s="34"/>
      <c r="C336" s="34"/>
      <c r="D336" s="34"/>
      <c r="E336" s="35"/>
    </row>
    <row r="337">
      <c r="A337" s="34"/>
      <c r="B337" s="34"/>
      <c r="C337" s="34"/>
      <c r="D337" s="34"/>
      <c r="E337" s="35"/>
    </row>
    <row r="338">
      <c r="A338" s="34"/>
      <c r="B338" s="34"/>
      <c r="C338" s="34"/>
      <c r="D338" s="34"/>
      <c r="E338" s="35"/>
    </row>
    <row r="339">
      <c r="A339" s="34"/>
      <c r="B339" s="34"/>
      <c r="C339" s="34"/>
      <c r="D339" s="34"/>
      <c r="E339" s="35"/>
    </row>
    <row r="340">
      <c r="A340" s="34"/>
      <c r="B340" s="34"/>
      <c r="C340" s="34"/>
      <c r="D340" s="34"/>
      <c r="E340" s="35"/>
    </row>
    <row r="341">
      <c r="A341" s="34"/>
      <c r="B341" s="34"/>
      <c r="C341" s="34"/>
      <c r="D341" s="34"/>
      <c r="E341" s="35"/>
    </row>
    <row r="342">
      <c r="A342" s="34"/>
      <c r="B342" s="34"/>
      <c r="C342" s="34"/>
      <c r="D342" s="34"/>
      <c r="E342" s="35"/>
    </row>
    <row r="343">
      <c r="A343" s="34"/>
      <c r="B343" s="34"/>
      <c r="C343" s="34"/>
      <c r="D343" s="34"/>
      <c r="E343" s="35"/>
    </row>
    <row r="344">
      <c r="A344" s="34"/>
      <c r="B344" s="34"/>
      <c r="C344" s="34"/>
      <c r="D344" s="34"/>
      <c r="E344" s="35"/>
    </row>
    <row r="345">
      <c r="A345" s="34"/>
      <c r="B345" s="34"/>
      <c r="C345" s="34"/>
      <c r="D345" s="34"/>
      <c r="E345" s="35"/>
    </row>
    <row r="346">
      <c r="A346" s="34"/>
      <c r="B346" s="34"/>
      <c r="C346" s="34"/>
      <c r="D346" s="34"/>
      <c r="E346" s="35"/>
    </row>
    <row r="347">
      <c r="A347" s="34"/>
      <c r="B347" s="34"/>
      <c r="C347" s="34"/>
      <c r="D347" s="34"/>
      <c r="E347" s="35"/>
    </row>
    <row r="348">
      <c r="A348" s="34"/>
      <c r="B348" s="34"/>
      <c r="C348" s="34"/>
      <c r="D348" s="34"/>
      <c r="E348" s="35"/>
    </row>
    <row r="349">
      <c r="A349" s="34"/>
      <c r="B349" s="34"/>
      <c r="C349" s="34"/>
      <c r="D349" s="34"/>
      <c r="E349" s="35"/>
    </row>
    <row r="350">
      <c r="A350" s="34"/>
      <c r="B350" s="34"/>
      <c r="C350" s="34"/>
      <c r="D350" s="34"/>
      <c r="E350" s="35"/>
    </row>
    <row r="351">
      <c r="A351" s="34"/>
      <c r="B351" s="34"/>
      <c r="C351" s="34"/>
      <c r="D351" s="34"/>
      <c r="E351" s="35"/>
    </row>
    <row r="352">
      <c r="A352" s="34"/>
      <c r="B352" s="34"/>
      <c r="C352" s="34"/>
      <c r="D352" s="34"/>
      <c r="E352" s="35"/>
    </row>
    <row r="353">
      <c r="A353" s="34"/>
      <c r="B353" s="34"/>
      <c r="C353" s="34"/>
      <c r="D353" s="34"/>
      <c r="E353" s="35"/>
    </row>
    <row r="354">
      <c r="A354" s="34"/>
      <c r="B354" s="34"/>
      <c r="C354" s="34"/>
      <c r="D354" s="34"/>
      <c r="E354" s="35"/>
    </row>
    <row r="355">
      <c r="A355" s="34"/>
      <c r="B355" s="34"/>
      <c r="C355" s="34"/>
      <c r="D355" s="34"/>
      <c r="E355" s="35"/>
    </row>
    <row r="356">
      <c r="A356" s="34"/>
      <c r="B356" s="34"/>
      <c r="C356" s="34"/>
      <c r="D356" s="34"/>
      <c r="E356" s="35"/>
    </row>
    <row r="357">
      <c r="A357" s="34"/>
      <c r="B357" s="34"/>
      <c r="C357" s="34"/>
      <c r="D357" s="34"/>
      <c r="E357" s="35"/>
    </row>
    <row r="358">
      <c r="A358" s="34"/>
      <c r="B358" s="34"/>
      <c r="C358" s="34"/>
      <c r="D358" s="34"/>
      <c r="E358" s="35"/>
    </row>
    <row r="359">
      <c r="A359" s="34"/>
      <c r="B359" s="34"/>
      <c r="C359" s="34"/>
      <c r="D359" s="34"/>
      <c r="E359" s="35"/>
    </row>
    <row r="360">
      <c r="A360" s="34"/>
      <c r="B360" s="34"/>
      <c r="C360" s="34"/>
      <c r="D360" s="34"/>
      <c r="E360" s="35"/>
    </row>
    <row r="361">
      <c r="A361" s="34"/>
      <c r="B361" s="34"/>
      <c r="C361" s="34"/>
      <c r="D361" s="34"/>
      <c r="E361" s="35"/>
    </row>
    <row r="362">
      <c r="A362" s="34"/>
      <c r="B362" s="34"/>
      <c r="C362" s="34"/>
      <c r="D362" s="34"/>
      <c r="E362" s="35"/>
    </row>
    <row r="363">
      <c r="A363" s="34"/>
      <c r="B363" s="34"/>
      <c r="C363" s="34"/>
      <c r="D363" s="34"/>
      <c r="E363" s="35"/>
    </row>
    <row r="364">
      <c r="A364" s="34"/>
      <c r="B364" s="34"/>
      <c r="C364" s="34"/>
      <c r="D364" s="34"/>
      <c r="E364" s="35"/>
    </row>
    <row r="365">
      <c r="A365" s="34"/>
      <c r="B365" s="34"/>
      <c r="C365" s="34"/>
      <c r="D365" s="34"/>
      <c r="E365" s="35"/>
    </row>
    <row r="366">
      <c r="A366" s="34"/>
      <c r="B366" s="34"/>
      <c r="C366" s="34"/>
      <c r="D366" s="34"/>
      <c r="E366" s="35"/>
    </row>
    <row r="367">
      <c r="A367" s="34"/>
      <c r="B367" s="34"/>
      <c r="C367" s="34"/>
      <c r="D367" s="34"/>
      <c r="E367" s="35"/>
    </row>
    <row r="368">
      <c r="A368" s="34"/>
      <c r="B368" s="34"/>
      <c r="C368" s="34"/>
      <c r="D368" s="34"/>
      <c r="E368" s="35"/>
    </row>
    <row r="369">
      <c r="A369" s="34"/>
      <c r="B369" s="34"/>
      <c r="C369" s="34"/>
      <c r="D369" s="34"/>
      <c r="E369" s="35"/>
    </row>
    <row r="370">
      <c r="A370" s="34"/>
      <c r="B370" s="34"/>
      <c r="C370" s="34"/>
      <c r="D370" s="34"/>
      <c r="E370" s="35"/>
    </row>
    <row r="371">
      <c r="A371" s="34"/>
      <c r="B371" s="34"/>
      <c r="C371" s="34"/>
      <c r="D371" s="34"/>
      <c r="E371" s="35"/>
    </row>
    <row r="372">
      <c r="A372" s="34"/>
      <c r="B372" s="34"/>
      <c r="C372" s="34"/>
      <c r="D372" s="34"/>
      <c r="E372" s="35"/>
    </row>
    <row r="373">
      <c r="A373" s="34"/>
      <c r="B373" s="34"/>
      <c r="C373" s="34"/>
      <c r="D373" s="34"/>
      <c r="E373" s="35"/>
    </row>
    <row r="374">
      <c r="A374" s="34"/>
      <c r="B374" s="34"/>
      <c r="C374" s="34"/>
      <c r="D374" s="34"/>
      <c r="E374" s="35"/>
    </row>
    <row r="375">
      <c r="A375" s="34"/>
      <c r="B375" s="34"/>
      <c r="C375" s="34"/>
      <c r="D375" s="34"/>
      <c r="E375" s="35"/>
    </row>
    <row r="376">
      <c r="A376" s="34"/>
      <c r="B376" s="34"/>
      <c r="C376" s="34"/>
      <c r="D376" s="34"/>
      <c r="E376" s="35"/>
    </row>
    <row r="377">
      <c r="A377" s="34"/>
      <c r="B377" s="34"/>
      <c r="C377" s="34"/>
      <c r="D377" s="34"/>
      <c r="E377" s="35"/>
    </row>
    <row r="378">
      <c r="A378" s="34"/>
      <c r="B378" s="34"/>
      <c r="C378" s="34"/>
      <c r="D378" s="34"/>
      <c r="E378" s="35"/>
    </row>
    <row r="379">
      <c r="A379" s="34"/>
      <c r="B379" s="34"/>
      <c r="C379" s="34"/>
      <c r="D379" s="34"/>
      <c r="E379" s="35"/>
    </row>
    <row r="380">
      <c r="A380" s="34"/>
      <c r="B380" s="34"/>
      <c r="C380" s="34"/>
      <c r="D380" s="34"/>
      <c r="E380" s="35"/>
    </row>
    <row r="381">
      <c r="A381" s="34"/>
      <c r="B381" s="34"/>
      <c r="C381" s="34"/>
      <c r="D381" s="34"/>
      <c r="E381" s="35"/>
    </row>
    <row r="382">
      <c r="A382" s="34"/>
      <c r="B382" s="34"/>
      <c r="C382" s="34"/>
      <c r="D382" s="34"/>
      <c r="E382" s="35"/>
    </row>
    <row r="383">
      <c r="A383" s="34"/>
      <c r="B383" s="34"/>
      <c r="C383" s="34"/>
      <c r="D383" s="34"/>
      <c r="E383" s="35"/>
    </row>
    <row r="384">
      <c r="A384" s="34"/>
      <c r="B384" s="34"/>
      <c r="C384" s="34"/>
      <c r="D384" s="34"/>
      <c r="E384" s="35"/>
    </row>
    <row r="385">
      <c r="A385" s="34"/>
      <c r="B385" s="34"/>
      <c r="C385" s="34"/>
      <c r="D385" s="34"/>
      <c r="E385" s="35"/>
    </row>
    <row r="386">
      <c r="A386" s="34"/>
      <c r="B386" s="34"/>
      <c r="C386" s="34"/>
      <c r="D386" s="34"/>
      <c r="E386" s="35"/>
    </row>
    <row r="387">
      <c r="A387" s="34"/>
      <c r="B387" s="34"/>
      <c r="C387" s="34"/>
      <c r="D387" s="34"/>
      <c r="E387" s="35"/>
    </row>
    <row r="388">
      <c r="A388" s="34"/>
      <c r="B388" s="34"/>
      <c r="C388" s="34"/>
      <c r="D388" s="34"/>
      <c r="E388" s="35"/>
    </row>
    <row r="389">
      <c r="A389" s="34"/>
      <c r="B389" s="34"/>
      <c r="C389" s="34"/>
      <c r="D389" s="34"/>
      <c r="E389" s="35"/>
    </row>
    <row r="390">
      <c r="A390" s="34"/>
      <c r="B390" s="34"/>
      <c r="C390" s="34"/>
      <c r="D390" s="34"/>
      <c r="E390" s="35"/>
    </row>
    <row r="391">
      <c r="A391" s="34"/>
      <c r="B391" s="34"/>
      <c r="C391" s="34"/>
      <c r="D391" s="34"/>
      <c r="E391" s="35"/>
    </row>
    <row r="392">
      <c r="A392" s="34"/>
      <c r="B392" s="34"/>
      <c r="C392" s="34"/>
      <c r="D392" s="34"/>
      <c r="E392" s="35"/>
    </row>
    <row r="393">
      <c r="A393" s="34"/>
      <c r="B393" s="34"/>
      <c r="C393" s="34"/>
      <c r="D393" s="34"/>
      <c r="E393" s="35"/>
    </row>
    <row r="394">
      <c r="A394" s="34"/>
      <c r="B394" s="34"/>
      <c r="C394" s="34"/>
      <c r="D394" s="34"/>
      <c r="E394" s="35"/>
    </row>
    <row r="395">
      <c r="A395" s="34"/>
      <c r="B395" s="34"/>
      <c r="C395" s="34"/>
      <c r="D395" s="34"/>
      <c r="E395" s="35"/>
    </row>
    <row r="396">
      <c r="A396" s="34"/>
      <c r="B396" s="34"/>
      <c r="C396" s="34"/>
      <c r="D396" s="34"/>
      <c r="E396" s="35"/>
    </row>
    <row r="397">
      <c r="A397" s="34"/>
      <c r="B397" s="34"/>
      <c r="C397" s="34"/>
      <c r="D397" s="34"/>
      <c r="E397" s="35"/>
    </row>
    <row r="398">
      <c r="A398" s="34"/>
      <c r="B398" s="34"/>
      <c r="C398" s="34"/>
      <c r="D398" s="34"/>
      <c r="E398" s="35"/>
    </row>
    <row r="399">
      <c r="A399" s="34"/>
      <c r="B399" s="34"/>
      <c r="C399" s="34"/>
      <c r="D399" s="34"/>
      <c r="E399" s="35"/>
    </row>
    <row r="400">
      <c r="A400" s="34"/>
      <c r="B400" s="34"/>
      <c r="C400" s="34"/>
      <c r="D400" s="34"/>
      <c r="E400" s="35"/>
    </row>
    <row r="401">
      <c r="A401" s="34"/>
      <c r="B401" s="34"/>
      <c r="C401" s="34"/>
      <c r="D401" s="34"/>
      <c r="E401" s="35"/>
    </row>
    <row r="402">
      <c r="A402" s="34"/>
      <c r="B402" s="34"/>
      <c r="C402" s="34"/>
      <c r="D402" s="34"/>
      <c r="E402" s="35"/>
    </row>
    <row r="403">
      <c r="A403" s="34"/>
      <c r="B403" s="34"/>
      <c r="C403" s="34"/>
      <c r="D403" s="34"/>
      <c r="E403" s="35"/>
    </row>
    <row r="404">
      <c r="A404" s="34"/>
      <c r="B404" s="34"/>
      <c r="C404" s="34"/>
      <c r="D404" s="34"/>
      <c r="E404" s="35"/>
    </row>
    <row r="405">
      <c r="A405" s="34"/>
      <c r="B405" s="34"/>
      <c r="C405" s="34"/>
      <c r="D405" s="34"/>
      <c r="E405" s="35"/>
    </row>
    <row r="406">
      <c r="A406" s="34"/>
      <c r="B406" s="34"/>
      <c r="C406" s="34"/>
      <c r="D406" s="34"/>
      <c r="E406" s="35"/>
    </row>
    <row r="407">
      <c r="A407" s="34"/>
      <c r="B407" s="34"/>
      <c r="C407" s="34"/>
      <c r="D407" s="34"/>
      <c r="E407" s="35"/>
    </row>
    <row r="408">
      <c r="A408" s="34"/>
      <c r="B408" s="34"/>
      <c r="C408" s="34"/>
      <c r="D408" s="34"/>
      <c r="E408" s="35"/>
    </row>
    <row r="409">
      <c r="A409" s="34"/>
      <c r="B409" s="34"/>
      <c r="C409" s="34"/>
      <c r="D409" s="34"/>
      <c r="E409" s="35"/>
    </row>
    <row r="410">
      <c r="A410" s="34"/>
      <c r="B410" s="34"/>
      <c r="C410" s="34"/>
      <c r="D410" s="34"/>
      <c r="E410" s="35"/>
    </row>
    <row r="411">
      <c r="A411" s="34"/>
      <c r="B411" s="34"/>
      <c r="C411" s="34"/>
      <c r="D411" s="34"/>
      <c r="E411" s="35"/>
    </row>
    <row r="412">
      <c r="A412" s="34"/>
      <c r="B412" s="34"/>
      <c r="C412" s="34"/>
      <c r="D412" s="34"/>
      <c r="E412" s="35"/>
    </row>
    <row r="413">
      <c r="A413" s="34"/>
      <c r="B413" s="34"/>
      <c r="C413" s="34"/>
      <c r="D413" s="34"/>
      <c r="E413" s="35"/>
    </row>
    <row r="414">
      <c r="A414" s="34"/>
      <c r="B414" s="34"/>
      <c r="C414" s="34"/>
      <c r="D414" s="34"/>
      <c r="E414" s="35"/>
    </row>
    <row r="415">
      <c r="A415" s="34"/>
      <c r="B415" s="34"/>
      <c r="C415" s="34"/>
      <c r="D415" s="34"/>
      <c r="E415" s="35"/>
    </row>
    <row r="416">
      <c r="A416" s="34"/>
      <c r="B416" s="34"/>
      <c r="C416" s="34"/>
      <c r="D416" s="34"/>
      <c r="E416" s="35"/>
    </row>
    <row r="417">
      <c r="A417" s="34"/>
      <c r="B417" s="34"/>
      <c r="C417" s="34"/>
      <c r="D417" s="34"/>
      <c r="E417" s="35"/>
    </row>
    <row r="418">
      <c r="A418" s="34"/>
      <c r="B418" s="34"/>
      <c r="C418" s="34"/>
      <c r="D418" s="34"/>
      <c r="E418" s="35"/>
    </row>
    <row r="419">
      <c r="A419" s="34"/>
      <c r="B419" s="34"/>
      <c r="C419" s="34"/>
      <c r="D419" s="34"/>
      <c r="E419" s="35"/>
    </row>
    <row r="420">
      <c r="A420" s="34"/>
      <c r="B420" s="34"/>
      <c r="C420" s="34"/>
      <c r="D420" s="34"/>
      <c r="E420" s="35"/>
    </row>
    <row r="421">
      <c r="A421" s="34"/>
      <c r="B421" s="34"/>
      <c r="C421" s="34"/>
      <c r="D421" s="34"/>
      <c r="E421" s="35"/>
    </row>
    <row r="422">
      <c r="A422" s="34"/>
      <c r="B422" s="34"/>
      <c r="C422" s="34"/>
      <c r="D422" s="34"/>
      <c r="E422" s="35"/>
    </row>
    <row r="423">
      <c r="A423" s="34"/>
      <c r="B423" s="34"/>
      <c r="C423" s="34"/>
      <c r="D423" s="34"/>
      <c r="E423" s="35"/>
    </row>
    <row r="424">
      <c r="A424" s="34"/>
      <c r="B424" s="34"/>
      <c r="C424" s="34"/>
      <c r="D424" s="34"/>
      <c r="E424" s="35"/>
    </row>
    <row r="425">
      <c r="A425" s="34"/>
      <c r="B425" s="34"/>
      <c r="C425" s="34"/>
      <c r="D425" s="34"/>
      <c r="E425" s="35"/>
    </row>
    <row r="426">
      <c r="A426" s="34"/>
      <c r="B426" s="34"/>
      <c r="C426" s="34"/>
      <c r="D426" s="34"/>
      <c r="E426" s="35"/>
    </row>
    <row r="427">
      <c r="A427" s="34"/>
      <c r="B427" s="34"/>
      <c r="C427" s="34"/>
      <c r="D427" s="34"/>
      <c r="E427" s="35"/>
    </row>
    <row r="428">
      <c r="A428" s="34"/>
      <c r="B428" s="34"/>
      <c r="C428" s="34"/>
      <c r="D428" s="34"/>
      <c r="E428" s="35"/>
    </row>
    <row r="429">
      <c r="A429" s="34"/>
      <c r="B429" s="34"/>
      <c r="C429" s="34"/>
      <c r="D429" s="34"/>
      <c r="E429" s="35"/>
    </row>
    <row r="430">
      <c r="A430" s="34"/>
      <c r="B430" s="34"/>
      <c r="C430" s="34"/>
      <c r="D430" s="34"/>
      <c r="E430" s="35"/>
    </row>
    <row r="431">
      <c r="A431" s="34"/>
      <c r="B431" s="34"/>
      <c r="C431" s="34"/>
      <c r="D431" s="34"/>
      <c r="E431" s="35"/>
    </row>
    <row r="432">
      <c r="A432" s="34"/>
      <c r="B432" s="34"/>
      <c r="C432" s="34"/>
      <c r="D432" s="34"/>
      <c r="E432" s="35"/>
    </row>
    <row r="433">
      <c r="A433" s="34"/>
      <c r="B433" s="34"/>
      <c r="C433" s="34"/>
      <c r="D433" s="34"/>
      <c r="E433" s="35"/>
    </row>
    <row r="434">
      <c r="A434" s="34"/>
      <c r="B434" s="34"/>
      <c r="C434" s="34"/>
      <c r="D434" s="34"/>
      <c r="E434" s="35"/>
    </row>
    <row r="435">
      <c r="A435" s="34"/>
      <c r="B435" s="34"/>
      <c r="C435" s="34"/>
      <c r="D435" s="34"/>
      <c r="E435" s="35"/>
    </row>
    <row r="436">
      <c r="A436" s="34"/>
      <c r="B436" s="34"/>
      <c r="C436" s="34"/>
      <c r="D436" s="34"/>
      <c r="E436" s="35"/>
    </row>
    <row r="437">
      <c r="A437" s="34"/>
      <c r="B437" s="34"/>
      <c r="C437" s="34"/>
      <c r="D437" s="34"/>
      <c r="E437" s="35"/>
    </row>
    <row r="438">
      <c r="A438" s="34"/>
      <c r="B438" s="34"/>
      <c r="C438" s="34"/>
      <c r="D438" s="34"/>
      <c r="E438" s="35"/>
    </row>
    <row r="439">
      <c r="A439" s="34"/>
      <c r="B439" s="34"/>
      <c r="C439" s="34"/>
      <c r="D439" s="34"/>
      <c r="E439" s="35"/>
    </row>
    <row r="440">
      <c r="A440" s="34"/>
      <c r="B440" s="34"/>
      <c r="C440" s="34"/>
      <c r="D440" s="34"/>
      <c r="E440" s="35"/>
    </row>
    <row r="441">
      <c r="A441" s="34"/>
      <c r="B441" s="34"/>
      <c r="C441" s="34"/>
      <c r="D441" s="34"/>
      <c r="E441" s="35"/>
    </row>
    <row r="442">
      <c r="A442" s="34"/>
      <c r="B442" s="34"/>
      <c r="C442" s="34"/>
      <c r="D442" s="34"/>
      <c r="E442" s="35"/>
    </row>
    <row r="443">
      <c r="A443" s="34"/>
      <c r="B443" s="34"/>
      <c r="C443" s="34"/>
      <c r="D443" s="34"/>
      <c r="E443" s="35"/>
    </row>
    <row r="444">
      <c r="A444" s="34"/>
      <c r="B444" s="34"/>
      <c r="C444" s="34"/>
      <c r="D444" s="34"/>
      <c r="E444" s="35"/>
    </row>
    <row r="445">
      <c r="A445" s="34"/>
      <c r="B445" s="34"/>
      <c r="C445" s="34"/>
      <c r="D445" s="34"/>
      <c r="E445" s="35"/>
    </row>
    <row r="446">
      <c r="A446" s="34"/>
      <c r="B446" s="34"/>
      <c r="C446" s="34"/>
      <c r="D446" s="34"/>
      <c r="E446" s="35"/>
    </row>
    <row r="447">
      <c r="A447" s="34"/>
      <c r="B447" s="34"/>
      <c r="C447" s="34"/>
      <c r="D447" s="34"/>
      <c r="E447" s="35"/>
    </row>
    <row r="448">
      <c r="A448" s="34"/>
      <c r="B448" s="34"/>
      <c r="C448" s="34"/>
      <c r="D448" s="34"/>
      <c r="E448" s="35"/>
    </row>
    <row r="449">
      <c r="A449" s="34"/>
      <c r="B449" s="34"/>
      <c r="C449" s="34"/>
      <c r="D449" s="34"/>
      <c r="E449" s="35"/>
    </row>
    <row r="450">
      <c r="A450" s="34"/>
      <c r="B450" s="34"/>
      <c r="C450" s="34"/>
      <c r="D450" s="34"/>
      <c r="E450" s="35"/>
    </row>
    <row r="451">
      <c r="A451" s="34"/>
      <c r="B451" s="34"/>
      <c r="C451" s="34"/>
      <c r="D451" s="34"/>
      <c r="E451" s="35"/>
    </row>
    <row r="452">
      <c r="A452" s="34"/>
      <c r="B452" s="34"/>
      <c r="C452" s="34"/>
      <c r="D452" s="34"/>
      <c r="E452" s="35"/>
    </row>
    <row r="453">
      <c r="A453" s="34"/>
      <c r="B453" s="34"/>
      <c r="C453" s="34"/>
      <c r="D453" s="34"/>
      <c r="E453" s="35"/>
    </row>
    <row r="454">
      <c r="A454" s="34"/>
      <c r="B454" s="34"/>
      <c r="C454" s="34"/>
      <c r="D454" s="34"/>
      <c r="E454" s="35"/>
    </row>
    <row r="455">
      <c r="A455" s="34"/>
      <c r="B455" s="34"/>
      <c r="C455" s="34"/>
      <c r="D455" s="34"/>
      <c r="E455" s="35"/>
    </row>
    <row r="456">
      <c r="A456" s="34"/>
      <c r="B456" s="34"/>
      <c r="C456" s="34"/>
      <c r="D456" s="34"/>
      <c r="E456" s="35"/>
    </row>
    <row r="457">
      <c r="A457" s="34"/>
      <c r="B457" s="34"/>
      <c r="C457" s="34"/>
      <c r="D457" s="34"/>
      <c r="E457" s="35"/>
    </row>
    <row r="458">
      <c r="A458" s="34"/>
      <c r="B458" s="34"/>
      <c r="C458" s="34"/>
      <c r="D458" s="34"/>
      <c r="E458" s="35"/>
    </row>
    <row r="459">
      <c r="A459" s="34"/>
      <c r="B459" s="34"/>
      <c r="C459" s="34"/>
      <c r="D459" s="34"/>
      <c r="E459" s="35"/>
    </row>
    <row r="460">
      <c r="A460" s="34"/>
      <c r="B460" s="34"/>
      <c r="C460" s="34"/>
      <c r="D460" s="34"/>
      <c r="E460" s="35"/>
    </row>
    <row r="461">
      <c r="A461" s="34"/>
      <c r="B461" s="34"/>
      <c r="C461" s="34"/>
      <c r="D461" s="34"/>
      <c r="E461" s="35"/>
    </row>
    <row r="462">
      <c r="A462" s="34"/>
      <c r="B462" s="34"/>
      <c r="C462" s="34"/>
      <c r="D462" s="34"/>
      <c r="E462" s="35"/>
    </row>
    <row r="463">
      <c r="A463" s="34"/>
      <c r="B463" s="34"/>
      <c r="C463" s="34"/>
      <c r="D463" s="34"/>
      <c r="E463" s="35"/>
    </row>
    <row r="464">
      <c r="A464" s="34"/>
      <c r="B464" s="34"/>
      <c r="C464" s="34"/>
      <c r="D464" s="34"/>
      <c r="E464" s="35"/>
    </row>
    <row r="465">
      <c r="A465" s="34"/>
      <c r="B465" s="34"/>
      <c r="C465" s="34"/>
      <c r="D465" s="34"/>
      <c r="E465" s="35"/>
    </row>
    <row r="466">
      <c r="A466" s="34"/>
      <c r="B466" s="34"/>
      <c r="C466" s="34"/>
      <c r="D466" s="34"/>
      <c r="E466" s="35"/>
    </row>
    <row r="467">
      <c r="A467" s="34"/>
      <c r="B467" s="34"/>
      <c r="C467" s="34"/>
      <c r="D467" s="34"/>
      <c r="E467" s="35"/>
    </row>
    <row r="468">
      <c r="A468" s="34"/>
      <c r="B468" s="34"/>
      <c r="C468" s="34"/>
      <c r="D468" s="34"/>
      <c r="E468" s="35"/>
    </row>
    <row r="469">
      <c r="A469" s="34"/>
      <c r="B469" s="34"/>
      <c r="C469" s="34"/>
      <c r="D469" s="34"/>
      <c r="E469" s="35"/>
    </row>
    <row r="470">
      <c r="A470" s="34"/>
      <c r="B470" s="34"/>
      <c r="C470" s="34"/>
      <c r="D470" s="34"/>
      <c r="E470" s="35"/>
    </row>
    <row r="471">
      <c r="A471" s="34"/>
      <c r="B471" s="34"/>
      <c r="C471" s="34"/>
      <c r="D471" s="34"/>
      <c r="E471" s="35"/>
    </row>
    <row r="472">
      <c r="A472" s="34"/>
      <c r="B472" s="34"/>
      <c r="C472" s="34"/>
      <c r="D472" s="34"/>
      <c r="E472" s="35"/>
    </row>
    <row r="473">
      <c r="A473" s="34"/>
      <c r="B473" s="34"/>
      <c r="C473" s="34"/>
      <c r="D473" s="34"/>
      <c r="E473" s="35"/>
    </row>
    <row r="474">
      <c r="A474" s="34"/>
      <c r="B474" s="34"/>
      <c r="C474" s="34"/>
      <c r="D474" s="34"/>
      <c r="E474" s="35"/>
    </row>
    <row r="475">
      <c r="A475" s="34"/>
      <c r="B475" s="34"/>
      <c r="C475" s="34"/>
      <c r="D475" s="34"/>
      <c r="E475" s="35"/>
    </row>
    <row r="476">
      <c r="A476" s="34"/>
      <c r="B476" s="34"/>
      <c r="C476" s="34"/>
      <c r="D476" s="34"/>
      <c r="E476" s="35"/>
    </row>
    <row r="477">
      <c r="A477" s="34"/>
      <c r="B477" s="34"/>
      <c r="C477" s="34"/>
      <c r="D477" s="34"/>
      <c r="E477" s="35"/>
    </row>
    <row r="478">
      <c r="A478" s="34"/>
      <c r="B478" s="34"/>
      <c r="C478" s="34"/>
      <c r="D478" s="34"/>
      <c r="E478" s="35"/>
    </row>
    <row r="479">
      <c r="A479" s="34"/>
      <c r="B479" s="34"/>
      <c r="C479" s="34"/>
      <c r="D479" s="34"/>
      <c r="E479" s="35"/>
    </row>
    <row r="480">
      <c r="A480" s="34"/>
      <c r="B480" s="34"/>
      <c r="C480" s="34"/>
      <c r="D480" s="34"/>
      <c r="E480" s="35"/>
    </row>
    <row r="481">
      <c r="A481" s="34"/>
      <c r="B481" s="34"/>
      <c r="C481" s="34"/>
      <c r="D481" s="34"/>
      <c r="E481" s="35"/>
    </row>
    <row r="482">
      <c r="A482" s="34"/>
      <c r="B482" s="34"/>
      <c r="C482" s="34"/>
      <c r="D482" s="34"/>
      <c r="E482" s="35"/>
    </row>
    <row r="483">
      <c r="A483" s="34"/>
      <c r="B483" s="34"/>
      <c r="C483" s="34"/>
      <c r="D483" s="34"/>
      <c r="E483" s="35"/>
    </row>
    <row r="484">
      <c r="A484" s="34"/>
      <c r="B484" s="34"/>
      <c r="C484" s="34"/>
      <c r="D484" s="34"/>
      <c r="E484" s="35"/>
    </row>
    <row r="485">
      <c r="A485" s="34"/>
      <c r="B485" s="34"/>
      <c r="C485" s="34"/>
      <c r="D485" s="34"/>
      <c r="E485" s="35"/>
    </row>
    <row r="486">
      <c r="A486" s="34"/>
      <c r="B486" s="34"/>
      <c r="C486" s="34"/>
      <c r="D486" s="34"/>
      <c r="E486" s="35"/>
    </row>
    <row r="487">
      <c r="A487" s="34"/>
      <c r="B487" s="34"/>
      <c r="C487" s="34"/>
      <c r="D487" s="34"/>
      <c r="E487" s="35"/>
    </row>
    <row r="488">
      <c r="A488" s="34"/>
      <c r="B488" s="34"/>
      <c r="C488" s="34"/>
      <c r="D488" s="34"/>
      <c r="E488" s="35"/>
    </row>
    <row r="489">
      <c r="A489" s="34"/>
      <c r="B489" s="34"/>
      <c r="C489" s="34"/>
      <c r="D489" s="34"/>
      <c r="E489" s="35"/>
    </row>
    <row r="490">
      <c r="A490" s="34"/>
      <c r="B490" s="34"/>
      <c r="C490" s="34"/>
      <c r="D490" s="34"/>
      <c r="E490" s="35"/>
    </row>
    <row r="491">
      <c r="A491" s="34"/>
      <c r="B491" s="34"/>
      <c r="C491" s="34"/>
      <c r="D491" s="34"/>
      <c r="E491" s="35"/>
    </row>
    <row r="492">
      <c r="A492" s="34"/>
      <c r="B492" s="34"/>
      <c r="C492" s="34"/>
      <c r="D492" s="34"/>
      <c r="E492" s="35"/>
    </row>
    <row r="493">
      <c r="A493" s="34"/>
      <c r="B493" s="34"/>
      <c r="C493" s="34"/>
      <c r="D493" s="34"/>
      <c r="E493" s="35"/>
    </row>
    <row r="494">
      <c r="A494" s="34"/>
      <c r="B494" s="34"/>
      <c r="C494" s="34"/>
      <c r="D494" s="34"/>
      <c r="E494" s="35"/>
    </row>
    <row r="495">
      <c r="A495" s="34"/>
      <c r="B495" s="34"/>
      <c r="C495" s="34"/>
      <c r="D495" s="34"/>
      <c r="E495" s="35"/>
    </row>
    <row r="496">
      <c r="A496" s="34"/>
      <c r="B496" s="34"/>
      <c r="C496" s="34"/>
      <c r="D496" s="34"/>
      <c r="E496" s="35"/>
    </row>
    <row r="497">
      <c r="A497" s="34"/>
      <c r="B497" s="34"/>
      <c r="C497" s="34"/>
      <c r="D497" s="34"/>
      <c r="E497" s="35"/>
    </row>
    <row r="498">
      <c r="A498" s="34"/>
      <c r="B498" s="34"/>
      <c r="C498" s="34"/>
      <c r="D498" s="34"/>
      <c r="E498" s="35"/>
    </row>
    <row r="499">
      <c r="A499" s="34"/>
      <c r="B499" s="34"/>
      <c r="C499" s="34"/>
      <c r="D499" s="34"/>
      <c r="E499" s="35"/>
    </row>
    <row r="500">
      <c r="A500" s="34"/>
      <c r="B500" s="34"/>
      <c r="C500" s="34"/>
      <c r="D500" s="34"/>
      <c r="E500" s="35"/>
    </row>
    <row r="501">
      <c r="A501" s="34"/>
      <c r="B501" s="34"/>
      <c r="C501" s="34"/>
      <c r="D501" s="34"/>
      <c r="E501" s="35"/>
    </row>
    <row r="502">
      <c r="A502" s="34"/>
      <c r="B502" s="34"/>
      <c r="C502" s="34"/>
      <c r="D502" s="34"/>
      <c r="E502" s="35"/>
    </row>
    <row r="503">
      <c r="A503" s="34"/>
      <c r="B503" s="34"/>
      <c r="C503" s="34"/>
      <c r="D503" s="34"/>
      <c r="E503" s="35"/>
    </row>
    <row r="504">
      <c r="A504" s="34"/>
      <c r="B504" s="34"/>
      <c r="C504" s="34"/>
      <c r="D504" s="34"/>
      <c r="E504" s="35"/>
    </row>
    <row r="505">
      <c r="A505" s="34"/>
      <c r="B505" s="34"/>
      <c r="C505" s="34"/>
      <c r="D505" s="34"/>
      <c r="E505" s="35"/>
    </row>
    <row r="506">
      <c r="A506" s="34"/>
      <c r="B506" s="34"/>
      <c r="C506" s="34"/>
      <c r="D506" s="34"/>
      <c r="E506" s="35"/>
    </row>
    <row r="507">
      <c r="A507" s="34"/>
      <c r="B507" s="34"/>
      <c r="C507" s="34"/>
      <c r="D507" s="34"/>
      <c r="E507" s="35"/>
    </row>
    <row r="508">
      <c r="A508" s="34"/>
      <c r="B508" s="34"/>
      <c r="C508" s="34"/>
      <c r="D508" s="34"/>
      <c r="E508" s="35"/>
    </row>
    <row r="509">
      <c r="A509" s="34"/>
      <c r="B509" s="34"/>
      <c r="C509" s="34"/>
      <c r="D509" s="34"/>
      <c r="E509" s="35"/>
    </row>
    <row r="510">
      <c r="A510" s="34"/>
      <c r="B510" s="34"/>
      <c r="C510" s="34"/>
      <c r="D510" s="34"/>
      <c r="E510" s="35"/>
    </row>
    <row r="511">
      <c r="A511" s="34"/>
      <c r="B511" s="34"/>
      <c r="C511" s="34"/>
      <c r="D511" s="34"/>
      <c r="E511" s="35"/>
    </row>
    <row r="512">
      <c r="A512" s="34"/>
      <c r="B512" s="34"/>
      <c r="C512" s="34"/>
      <c r="D512" s="34"/>
      <c r="E512" s="35"/>
    </row>
    <row r="513">
      <c r="A513" s="34"/>
      <c r="B513" s="34"/>
      <c r="C513" s="34"/>
      <c r="D513" s="34"/>
      <c r="E513" s="35"/>
    </row>
    <row r="514">
      <c r="A514" s="34"/>
      <c r="B514" s="34"/>
      <c r="C514" s="34"/>
      <c r="D514" s="34"/>
      <c r="E514" s="35"/>
    </row>
    <row r="515">
      <c r="A515" s="34"/>
      <c r="B515" s="34"/>
      <c r="C515" s="34"/>
      <c r="D515" s="34"/>
      <c r="E515" s="35"/>
    </row>
    <row r="516">
      <c r="A516" s="34"/>
      <c r="B516" s="34"/>
      <c r="C516" s="34"/>
      <c r="D516" s="34"/>
      <c r="E516" s="35"/>
    </row>
    <row r="517">
      <c r="A517" s="34"/>
      <c r="B517" s="34"/>
      <c r="C517" s="34"/>
      <c r="D517" s="34"/>
      <c r="E517" s="35"/>
    </row>
    <row r="518">
      <c r="A518" s="34"/>
      <c r="B518" s="34"/>
      <c r="C518" s="34"/>
      <c r="D518" s="34"/>
      <c r="E518" s="35"/>
    </row>
    <row r="519">
      <c r="A519" s="34"/>
      <c r="B519" s="34"/>
      <c r="C519" s="34"/>
      <c r="D519" s="34"/>
      <c r="E519" s="35"/>
    </row>
    <row r="520">
      <c r="A520" s="34"/>
      <c r="B520" s="34"/>
      <c r="C520" s="34"/>
      <c r="D520" s="34"/>
      <c r="E520" s="35"/>
    </row>
    <row r="521">
      <c r="A521" s="34"/>
      <c r="B521" s="34"/>
      <c r="C521" s="34"/>
      <c r="D521" s="34"/>
      <c r="E521" s="35"/>
    </row>
    <row r="522">
      <c r="A522" s="34"/>
      <c r="B522" s="34"/>
      <c r="C522" s="34"/>
      <c r="D522" s="34"/>
      <c r="E522" s="35"/>
    </row>
    <row r="523">
      <c r="A523" s="34"/>
      <c r="B523" s="34"/>
      <c r="C523" s="34"/>
      <c r="D523" s="34"/>
      <c r="E523" s="35"/>
    </row>
    <row r="524">
      <c r="A524" s="34"/>
      <c r="B524" s="34"/>
      <c r="C524" s="34"/>
      <c r="D524" s="34"/>
      <c r="E524" s="35"/>
    </row>
    <row r="525">
      <c r="A525" s="34"/>
      <c r="B525" s="34"/>
      <c r="C525" s="34"/>
      <c r="D525" s="34"/>
      <c r="E525" s="35"/>
    </row>
    <row r="526">
      <c r="A526" s="34"/>
      <c r="B526" s="34"/>
      <c r="C526" s="34"/>
      <c r="D526" s="34"/>
      <c r="E526" s="35"/>
    </row>
    <row r="527">
      <c r="A527" s="34"/>
      <c r="B527" s="34"/>
      <c r="C527" s="34"/>
      <c r="D527" s="34"/>
      <c r="E527" s="35"/>
    </row>
    <row r="528">
      <c r="A528" s="34"/>
      <c r="B528" s="34"/>
      <c r="C528" s="34"/>
      <c r="D528" s="34"/>
      <c r="E528" s="35"/>
    </row>
    <row r="529">
      <c r="A529" s="34"/>
      <c r="B529" s="34"/>
      <c r="C529" s="34"/>
      <c r="D529" s="34"/>
      <c r="E529" s="35"/>
    </row>
    <row r="530">
      <c r="A530" s="34"/>
      <c r="B530" s="34"/>
      <c r="C530" s="34"/>
      <c r="D530" s="34"/>
      <c r="E530" s="35"/>
    </row>
    <row r="531">
      <c r="A531" s="34"/>
      <c r="B531" s="34"/>
      <c r="C531" s="34"/>
      <c r="D531" s="34"/>
      <c r="E531" s="35"/>
    </row>
    <row r="532">
      <c r="A532" s="34"/>
      <c r="B532" s="34"/>
      <c r="C532" s="34"/>
      <c r="D532" s="34"/>
      <c r="E532" s="35"/>
    </row>
    <row r="533">
      <c r="A533" s="34"/>
      <c r="B533" s="34"/>
      <c r="C533" s="34"/>
      <c r="D533" s="34"/>
      <c r="E533" s="35"/>
    </row>
    <row r="534">
      <c r="A534" s="34"/>
      <c r="B534" s="34"/>
      <c r="C534" s="34"/>
      <c r="D534" s="34"/>
      <c r="E534" s="35"/>
    </row>
    <row r="535">
      <c r="A535" s="34"/>
      <c r="B535" s="34"/>
      <c r="C535" s="34"/>
      <c r="D535" s="34"/>
      <c r="E535" s="35"/>
    </row>
    <row r="536">
      <c r="A536" s="34"/>
      <c r="B536" s="34"/>
      <c r="C536" s="34"/>
      <c r="D536" s="34"/>
      <c r="E536" s="35"/>
    </row>
    <row r="537">
      <c r="A537" s="34"/>
      <c r="B537" s="34"/>
      <c r="C537" s="34"/>
      <c r="D537" s="34"/>
      <c r="E537" s="35"/>
    </row>
    <row r="538">
      <c r="A538" s="34"/>
      <c r="B538" s="34"/>
      <c r="C538" s="34"/>
      <c r="D538" s="34"/>
      <c r="E538" s="35"/>
    </row>
    <row r="539">
      <c r="A539" s="34"/>
      <c r="B539" s="34"/>
      <c r="C539" s="34"/>
      <c r="D539" s="34"/>
      <c r="E539" s="35"/>
    </row>
    <row r="540">
      <c r="A540" s="34"/>
      <c r="B540" s="34"/>
      <c r="C540" s="34"/>
      <c r="D540" s="34"/>
      <c r="E540" s="35"/>
    </row>
    <row r="541">
      <c r="A541" s="34"/>
      <c r="B541" s="34"/>
      <c r="C541" s="34"/>
      <c r="D541" s="34"/>
      <c r="E541" s="35"/>
    </row>
    <row r="542">
      <c r="A542" s="34"/>
      <c r="B542" s="34"/>
      <c r="C542" s="34"/>
      <c r="D542" s="34"/>
      <c r="E542" s="35"/>
    </row>
    <row r="543">
      <c r="A543" s="34"/>
      <c r="B543" s="34"/>
      <c r="C543" s="34"/>
      <c r="D543" s="34"/>
      <c r="E543" s="35"/>
    </row>
    <row r="544">
      <c r="A544" s="34"/>
      <c r="B544" s="34"/>
      <c r="C544" s="34"/>
      <c r="D544" s="34"/>
      <c r="E544" s="35"/>
    </row>
    <row r="545">
      <c r="A545" s="34"/>
      <c r="B545" s="34"/>
      <c r="C545" s="34"/>
      <c r="D545" s="34"/>
      <c r="E545" s="35"/>
    </row>
    <row r="546">
      <c r="A546" s="34"/>
      <c r="B546" s="34"/>
      <c r="C546" s="34"/>
      <c r="D546" s="34"/>
      <c r="E546" s="35"/>
    </row>
    <row r="547">
      <c r="A547" s="34"/>
      <c r="B547" s="34"/>
      <c r="C547" s="34"/>
      <c r="D547" s="34"/>
      <c r="E547" s="35"/>
    </row>
    <row r="548">
      <c r="A548" s="34"/>
      <c r="B548" s="34"/>
      <c r="C548" s="34"/>
      <c r="D548" s="34"/>
      <c r="E548" s="35"/>
    </row>
    <row r="549">
      <c r="A549" s="34"/>
      <c r="B549" s="34"/>
      <c r="C549" s="34"/>
      <c r="D549" s="34"/>
      <c r="E549" s="35"/>
    </row>
    <row r="550">
      <c r="A550" s="34"/>
      <c r="B550" s="34"/>
      <c r="C550" s="34"/>
      <c r="D550" s="34"/>
      <c r="E550" s="35"/>
    </row>
    <row r="551">
      <c r="A551" s="34"/>
      <c r="B551" s="34"/>
      <c r="C551" s="34"/>
      <c r="D551" s="34"/>
      <c r="E551" s="35"/>
    </row>
    <row r="552">
      <c r="A552" s="34"/>
      <c r="B552" s="34"/>
      <c r="C552" s="34"/>
      <c r="D552" s="34"/>
      <c r="E552" s="35"/>
    </row>
    <row r="553">
      <c r="A553" s="34"/>
      <c r="B553" s="34"/>
      <c r="C553" s="34"/>
      <c r="D553" s="34"/>
      <c r="E553" s="35"/>
    </row>
    <row r="554">
      <c r="A554" s="34"/>
      <c r="B554" s="34"/>
      <c r="C554" s="34"/>
      <c r="D554" s="34"/>
      <c r="E554" s="35"/>
    </row>
    <row r="555">
      <c r="A555" s="34"/>
      <c r="B555" s="34"/>
      <c r="C555" s="34"/>
      <c r="D555" s="34"/>
      <c r="E555" s="35"/>
    </row>
    <row r="556">
      <c r="A556" s="34"/>
      <c r="B556" s="34"/>
      <c r="C556" s="34"/>
      <c r="D556" s="34"/>
      <c r="E556" s="35"/>
    </row>
    <row r="557">
      <c r="A557" s="34"/>
      <c r="B557" s="34"/>
      <c r="C557" s="34"/>
      <c r="D557" s="34"/>
      <c r="E557" s="35"/>
    </row>
    <row r="558">
      <c r="A558" s="34"/>
      <c r="B558" s="34"/>
      <c r="C558" s="34"/>
      <c r="D558" s="34"/>
      <c r="E558" s="35"/>
    </row>
    <row r="559">
      <c r="A559" s="34"/>
      <c r="B559" s="34"/>
      <c r="C559" s="34"/>
      <c r="D559" s="34"/>
      <c r="E559" s="35"/>
    </row>
    <row r="560">
      <c r="A560" s="34"/>
      <c r="B560" s="34"/>
      <c r="C560" s="34"/>
      <c r="D560" s="34"/>
      <c r="E560" s="35"/>
    </row>
    <row r="561">
      <c r="A561" s="34"/>
      <c r="B561" s="34"/>
      <c r="C561" s="34"/>
      <c r="D561" s="34"/>
      <c r="E561" s="35"/>
    </row>
    <row r="562">
      <c r="A562" s="34"/>
      <c r="B562" s="34"/>
      <c r="C562" s="34"/>
      <c r="D562" s="34"/>
      <c r="E562" s="35"/>
    </row>
    <row r="563">
      <c r="A563" s="34"/>
      <c r="B563" s="34"/>
      <c r="C563" s="34"/>
      <c r="D563" s="34"/>
      <c r="E563" s="35"/>
    </row>
    <row r="564">
      <c r="A564" s="34"/>
      <c r="B564" s="34"/>
      <c r="C564" s="34"/>
      <c r="D564" s="34"/>
      <c r="E564" s="35"/>
    </row>
    <row r="565">
      <c r="A565" s="34"/>
      <c r="B565" s="34"/>
      <c r="C565" s="34"/>
      <c r="D565" s="34"/>
      <c r="E565" s="35"/>
    </row>
    <row r="566">
      <c r="A566" s="34"/>
      <c r="B566" s="34"/>
      <c r="C566" s="34"/>
      <c r="D566" s="34"/>
      <c r="E566" s="35"/>
    </row>
    <row r="567">
      <c r="A567" s="34"/>
      <c r="B567" s="34"/>
      <c r="C567" s="34"/>
      <c r="D567" s="34"/>
      <c r="E567" s="35"/>
    </row>
    <row r="568">
      <c r="A568" s="34"/>
      <c r="B568" s="34"/>
      <c r="C568" s="34"/>
      <c r="D568" s="34"/>
      <c r="E568" s="35"/>
    </row>
    <row r="569">
      <c r="A569" s="34"/>
      <c r="B569" s="34"/>
      <c r="C569" s="34"/>
      <c r="D569" s="34"/>
      <c r="E569" s="35"/>
    </row>
    <row r="570">
      <c r="A570" s="34"/>
      <c r="B570" s="34"/>
      <c r="C570" s="34"/>
      <c r="D570" s="34"/>
      <c r="E570" s="35"/>
    </row>
    <row r="571">
      <c r="A571" s="34"/>
      <c r="B571" s="34"/>
      <c r="C571" s="34"/>
      <c r="D571" s="34"/>
      <c r="E571" s="35"/>
    </row>
    <row r="572">
      <c r="A572" s="34"/>
      <c r="B572" s="34"/>
      <c r="C572" s="34"/>
      <c r="D572" s="34"/>
      <c r="E572" s="35"/>
    </row>
    <row r="573">
      <c r="A573" s="34"/>
      <c r="B573" s="34"/>
      <c r="C573" s="34"/>
      <c r="D573" s="34"/>
      <c r="E573" s="35"/>
    </row>
    <row r="574">
      <c r="A574" s="34"/>
      <c r="B574" s="34"/>
      <c r="C574" s="34"/>
      <c r="D574" s="34"/>
      <c r="E574" s="35"/>
    </row>
    <row r="575">
      <c r="A575" s="34"/>
      <c r="B575" s="34"/>
      <c r="C575" s="34"/>
      <c r="D575" s="34"/>
      <c r="E575" s="35"/>
    </row>
    <row r="576">
      <c r="A576" s="34"/>
      <c r="B576" s="34"/>
      <c r="C576" s="34"/>
      <c r="D576" s="34"/>
      <c r="E576" s="35"/>
    </row>
    <row r="577">
      <c r="A577" s="34"/>
      <c r="B577" s="34"/>
      <c r="C577" s="34"/>
      <c r="D577" s="34"/>
      <c r="E577" s="35"/>
    </row>
    <row r="578">
      <c r="A578" s="34"/>
      <c r="B578" s="34"/>
      <c r="C578" s="34"/>
      <c r="D578" s="34"/>
      <c r="E578" s="35"/>
    </row>
    <row r="579">
      <c r="A579" s="34"/>
      <c r="B579" s="34"/>
      <c r="C579" s="34"/>
      <c r="D579" s="34"/>
      <c r="E579" s="35"/>
    </row>
    <row r="580">
      <c r="A580" s="34"/>
      <c r="B580" s="34"/>
      <c r="C580" s="34"/>
      <c r="D580" s="34"/>
      <c r="E580" s="35"/>
    </row>
    <row r="581">
      <c r="A581" s="34"/>
      <c r="B581" s="34"/>
      <c r="C581" s="34"/>
      <c r="D581" s="34"/>
      <c r="E581" s="35"/>
    </row>
    <row r="582">
      <c r="A582" s="34"/>
      <c r="B582" s="34"/>
      <c r="C582" s="34"/>
      <c r="D582" s="34"/>
      <c r="E582" s="35"/>
    </row>
    <row r="583">
      <c r="A583" s="34"/>
      <c r="B583" s="34"/>
      <c r="C583" s="34"/>
      <c r="D583" s="34"/>
      <c r="E583" s="35"/>
    </row>
    <row r="584">
      <c r="A584" s="34"/>
      <c r="B584" s="34"/>
      <c r="C584" s="34"/>
      <c r="D584" s="34"/>
      <c r="E584" s="35"/>
    </row>
    <row r="585">
      <c r="A585" s="34"/>
      <c r="B585" s="34"/>
      <c r="C585" s="34"/>
      <c r="D585" s="34"/>
      <c r="E585" s="35"/>
    </row>
    <row r="586">
      <c r="A586" s="34"/>
      <c r="B586" s="34"/>
      <c r="C586" s="34"/>
      <c r="D586" s="34"/>
      <c r="E586" s="35"/>
    </row>
    <row r="587">
      <c r="A587" s="34"/>
      <c r="B587" s="34"/>
      <c r="C587" s="34"/>
      <c r="D587" s="34"/>
      <c r="E587" s="35"/>
    </row>
    <row r="588">
      <c r="A588" s="34"/>
      <c r="B588" s="34"/>
      <c r="C588" s="34"/>
      <c r="D588" s="34"/>
      <c r="E588" s="35"/>
    </row>
    <row r="589">
      <c r="A589" s="34"/>
      <c r="B589" s="34"/>
      <c r="C589" s="34"/>
      <c r="D589" s="34"/>
      <c r="E589" s="35"/>
    </row>
    <row r="590">
      <c r="A590" s="34"/>
      <c r="B590" s="34"/>
      <c r="C590" s="34"/>
      <c r="D590" s="34"/>
      <c r="E590" s="35"/>
    </row>
    <row r="591">
      <c r="A591" s="34"/>
      <c r="B591" s="34"/>
      <c r="C591" s="34"/>
      <c r="D591" s="34"/>
      <c r="E591" s="35"/>
    </row>
    <row r="592">
      <c r="A592" s="34"/>
      <c r="B592" s="34"/>
      <c r="C592" s="34"/>
      <c r="D592" s="34"/>
      <c r="E592" s="35"/>
    </row>
    <row r="593">
      <c r="A593" s="34"/>
      <c r="B593" s="34"/>
      <c r="C593" s="34"/>
      <c r="D593" s="34"/>
      <c r="E593" s="35"/>
    </row>
    <row r="594">
      <c r="A594" s="34"/>
      <c r="B594" s="34"/>
      <c r="C594" s="34"/>
      <c r="D594" s="34"/>
      <c r="E594" s="35"/>
    </row>
    <row r="595">
      <c r="A595" s="34"/>
      <c r="B595" s="34"/>
      <c r="C595" s="34"/>
      <c r="D595" s="34"/>
      <c r="E595" s="35"/>
    </row>
    <row r="596">
      <c r="A596" s="34"/>
      <c r="B596" s="34"/>
      <c r="C596" s="34"/>
      <c r="D596" s="34"/>
      <c r="E596" s="35"/>
    </row>
    <row r="597">
      <c r="A597" s="34"/>
      <c r="B597" s="34"/>
      <c r="C597" s="34"/>
      <c r="D597" s="34"/>
      <c r="E597" s="35"/>
    </row>
    <row r="598">
      <c r="A598" s="34"/>
      <c r="B598" s="34"/>
      <c r="C598" s="34"/>
      <c r="D598" s="34"/>
      <c r="E598" s="35"/>
    </row>
    <row r="599">
      <c r="A599" s="34"/>
      <c r="B599" s="34"/>
      <c r="C599" s="34"/>
      <c r="D599" s="34"/>
      <c r="E599" s="35"/>
    </row>
    <row r="600">
      <c r="A600" s="34"/>
      <c r="B600" s="34"/>
      <c r="C600" s="34"/>
      <c r="D600" s="34"/>
      <c r="E600" s="35"/>
    </row>
    <row r="601">
      <c r="A601" s="34"/>
      <c r="B601" s="34"/>
      <c r="C601" s="34"/>
      <c r="D601" s="34"/>
      <c r="E601" s="35"/>
    </row>
    <row r="602">
      <c r="A602" s="34"/>
      <c r="B602" s="34"/>
      <c r="C602" s="34"/>
      <c r="D602" s="34"/>
      <c r="E602" s="35"/>
    </row>
    <row r="603">
      <c r="A603" s="34"/>
      <c r="B603" s="34"/>
      <c r="C603" s="34"/>
      <c r="D603" s="34"/>
      <c r="E603" s="35"/>
    </row>
    <row r="604">
      <c r="A604" s="34"/>
      <c r="B604" s="34"/>
      <c r="C604" s="34"/>
      <c r="D604" s="34"/>
      <c r="E604" s="35"/>
    </row>
    <row r="605">
      <c r="A605" s="34"/>
      <c r="B605" s="34"/>
      <c r="C605" s="34"/>
      <c r="D605" s="34"/>
      <c r="E605" s="35"/>
    </row>
    <row r="606">
      <c r="A606" s="34"/>
      <c r="B606" s="34"/>
      <c r="C606" s="34"/>
      <c r="D606" s="34"/>
      <c r="E606" s="35"/>
    </row>
    <row r="607">
      <c r="A607" s="34"/>
      <c r="B607" s="34"/>
      <c r="C607" s="34"/>
      <c r="D607" s="34"/>
      <c r="E607" s="35"/>
    </row>
    <row r="608">
      <c r="A608" s="34"/>
      <c r="B608" s="34"/>
      <c r="C608" s="34"/>
      <c r="D608" s="34"/>
      <c r="E608" s="35"/>
    </row>
    <row r="609">
      <c r="A609" s="34"/>
      <c r="B609" s="34"/>
      <c r="C609" s="34"/>
      <c r="D609" s="34"/>
      <c r="E609" s="35"/>
    </row>
    <row r="610">
      <c r="A610" s="34"/>
      <c r="B610" s="34"/>
      <c r="C610" s="34"/>
      <c r="D610" s="34"/>
      <c r="E610" s="35"/>
    </row>
    <row r="611">
      <c r="A611" s="34"/>
      <c r="B611" s="34"/>
      <c r="C611" s="34"/>
      <c r="D611" s="34"/>
      <c r="E611" s="35"/>
    </row>
    <row r="612">
      <c r="A612" s="34"/>
      <c r="B612" s="34"/>
      <c r="C612" s="34"/>
      <c r="D612" s="34"/>
      <c r="E612" s="35"/>
    </row>
    <row r="613">
      <c r="A613" s="34"/>
      <c r="B613" s="34"/>
      <c r="C613" s="34"/>
      <c r="D613" s="34"/>
      <c r="E613" s="35"/>
    </row>
    <row r="614">
      <c r="A614" s="34"/>
      <c r="B614" s="34"/>
      <c r="C614" s="34"/>
      <c r="D614" s="34"/>
      <c r="E614" s="35"/>
    </row>
    <row r="615">
      <c r="A615" s="34"/>
      <c r="B615" s="34"/>
      <c r="C615" s="34"/>
      <c r="D615" s="34"/>
      <c r="E615" s="35"/>
    </row>
    <row r="616">
      <c r="A616" s="34"/>
      <c r="B616" s="34"/>
      <c r="C616" s="34"/>
      <c r="D616" s="34"/>
      <c r="E616" s="35"/>
    </row>
    <row r="617">
      <c r="A617" s="34"/>
      <c r="B617" s="34"/>
      <c r="C617" s="34"/>
      <c r="D617" s="34"/>
      <c r="E617" s="35"/>
    </row>
    <row r="618">
      <c r="A618" s="34"/>
      <c r="B618" s="34"/>
      <c r="C618" s="34"/>
      <c r="D618" s="34"/>
      <c r="E618" s="35"/>
    </row>
    <row r="619">
      <c r="A619" s="34"/>
      <c r="B619" s="34"/>
      <c r="C619" s="34"/>
      <c r="D619" s="34"/>
      <c r="E619" s="35"/>
    </row>
    <row r="620">
      <c r="A620" s="34"/>
      <c r="B620" s="34"/>
      <c r="C620" s="34"/>
      <c r="D620" s="34"/>
      <c r="E620" s="35"/>
    </row>
    <row r="621">
      <c r="A621" s="34"/>
      <c r="B621" s="34"/>
      <c r="C621" s="34"/>
      <c r="D621" s="34"/>
      <c r="E621" s="35"/>
    </row>
    <row r="622">
      <c r="A622" s="34"/>
      <c r="B622" s="34"/>
      <c r="C622" s="34"/>
      <c r="D622" s="34"/>
      <c r="E622" s="35"/>
    </row>
    <row r="623">
      <c r="A623" s="34"/>
      <c r="B623" s="34"/>
      <c r="C623" s="34"/>
      <c r="D623" s="34"/>
      <c r="E623" s="35"/>
    </row>
    <row r="624">
      <c r="A624" s="34"/>
      <c r="B624" s="34"/>
      <c r="C624" s="34"/>
      <c r="D624" s="34"/>
      <c r="E624" s="35"/>
    </row>
    <row r="625">
      <c r="A625" s="34"/>
      <c r="B625" s="34"/>
      <c r="C625" s="34"/>
      <c r="D625" s="34"/>
      <c r="E625" s="35"/>
    </row>
    <row r="626">
      <c r="A626" s="34"/>
      <c r="B626" s="34"/>
      <c r="C626" s="34"/>
      <c r="D626" s="34"/>
      <c r="E626" s="35"/>
    </row>
    <row r="627">
      <c r="A627" s="34"/>
      <c r="B627" s="34"/>
      <c r="C627" s="34"/>
      <c r="D627" s="34"/>
      <c r="E627" s="35"/>
    </row>
    <row r="628">
      <c r="A628" s="34"/>
      <c r="B628" s="34"/>
      <c r="C628" s="34"/>
      <c r="D628" s="34"/>
      <c r="E628" s="35"/>
    </row>
    <row r="629">
      <c r="A629" s="34"/>
      <c r="B629" s="34"/>
      <c r="C629" s="34"/>
      <c r="D629" s="34"/>
      <c r="E629" s="35"/>
    </row>
    <row r="630">
      <c r="A630" s="34"/>
      <c r="B630" s="34"/>
      <c r="C630" s="34"/>
      <c r="D630" s="34"/>
      <c r="E630" s="35"/>
    </row>
    <row r="631">
      <c r="A631" s="34"/>
      <c r="B631" s="34"/>
      <c r="C631" s="34"/>
      <c r="D631" s="34"/>
      <c r="E631" s="35"/>
    </row>
    <row r="632">
      <c r="A632" s="34"/>
      <c r="B632" s="34"/>
      <c r="C632" s="34"/>
      <c r="D632" s="34"/>
      <c r="E632" s="35"/>
    </row>
    <row r="633">
      <c r="A633" s="34"/>
      <c r="B633" s="34"/>
      <c r="C633" s="34"/>
      <c r="D633" s="34"/>
      <c r="E633" s="35"/>
    </row>
    <row r="634">
      <c r="A634" s="34"/>
      <c r="B634" s="34"/>
      <c r="C634" s="34"/>
      <c r="D634" s="34"/>
      <c r="E634" s="35"/>
    </row>
    <row r="635">
      <c r="A635" s="34"/>
      <c r="B635" s="34"/>
      <c r="C635" s="34"/>
      <c r="D635" s="34"/>
      <c r="E635" s="35"/>
    </row>
    <row r="636">
      <c r="A636" s="34"/>
      <c r="B636" s="34"/>
      <c r="C636" s="34"/>
      <c r="D636" s="34"/>
      <c r="E636" s="35"/>
    </row>
    <row r="637">
      <c r="A637" s="34"/>
      <c r="B637" s="34"/>
      <c r="C637" s="34"/>
      <c r="D637" s="34"/>
      <c r="E637" s="35"/>
    </row>
    <row r="638">
      <c r="A638" s="34"/>
      <c r="B638" s="34"/>
      <c r="C638" s="34"/>
      <c r="D638" s="34"/>
      <c r="E638" s="35"/>
    </row>
    <row r="639">
      <c r="A639" s="34"/>
      <c r="B639" s="34"/>
      <c r="C639" s="34"/>
      <c r="D639" s="34"/>
      <c r="E639" s="35"/>
    </row>
    <row r="640">
      <c r="A640" s="34"/>
      <c r="B640" s="34"/>
      <c r="C640" s="34"/>
      <c r="D640" s="34"/>
      <c r="E640" s="35"/>
    </row>
    <row r="641">
      <c r="A641" s="34"/>
      <c r="B641" s="34"/>
      <c r="C641" s="34"/>
      <c r="D641" s="34"/>
      <c r="E641" s="35"/>
    </row>
    <row r="642">
      <c r="A642" s="34"/>
      <c r="B642" s="34"/>
      <c r="C642" s="34"/>
      <c r="D642" s="34"/>
      <c r="E642" s="35"/>
    </row>
    <row r="643">
      <c r="A643" s="34"/>
      <c r="B643" s="34"/>
      <c r="C643" s="34"/>
      <c r="D643" s="34"/>
      <c r="E643" s="35"/>
    </row>
    <row r="644">
      <c r="A644" s="34"/>
      <c r="B644" s="34"/>
      <c r="C644" s="34"/>
      <c r="D644" s="34"/>
      <c r="E644" s="35"/>
    </row>
    <row r="645">
      <c r="A645" s="34"/>
      <c r="B645" s="34"/>
      <c r="C645" s="34"/>
      <c r="D645" s="34"/>
      <c r="E645" s="35"/>
    </row>
    <row r="646">
      <c r="A646" s="34"/>
      <c r="B646" s="34"/>
      <c r="C646" s="34"/>
      <c r="D646" s="34"/>
      <c r="E646" s="35"/>
    </row>
    <row r="647">
      <c r="A647" s="34"/>
      <c r="B647" s="34"/>
      <c r="C647" s="34"/>
      <c r="D647" s="34"/>
      <c r="E647" s="35"/>
    </row>
    <row r="648">
      <c r="A648" s="34"/>
      <c r="B648" s="34"/>
      <c r="C648" s="34"/>
      <c r="D648" s="34"/>
      <c r="E648" s="35"/>
    </row>
    <row r="649">
      <c r="A649" s="34"/>
      <c r="B649" s="34"/>
      <c r="C649" s="34"/>
      <c r="D649" s="34"/>
      <c r="E649" s="35"/>
    </row>
    <row r="650">
      <c r="A650" s="34"/>
      <c r="B650" s="34"/>
      <c r="C650" s="34"/>
      <c r="D650" s="34"/>
      <c r="E650" s="35"/>
    </row>
    <row r="651">
      <c r="A651" s="34"/>
      <c r="B651" s="34"/>
      <c r="C651" s="34"/>
      <c r="D651" s="34"/>
      <c r="E651" s="35"/>
    </row>
    <row r="652">
      <c r="A652" s="34"/>
      <c r="B652" s="34"/>
      <c r="C652" s="34"/>
      <c r="D652" s="34"/>
      <c r="E652" s="35"/>
    </row>
    <row r="653">
      <c r="A653" s="34"/>
      <c r="B653" s="34"/>
      <c r="C653" s="34"/>
      <c r="D653" s="34"/>
      <c r="E653" s="35"/>
    </row>
    <row r="654">
      <c r="A654" s="34"/>
      <c r="B654" s="34"/>
      <c r="C654" s="34"/>
      <c r="D654" s="34"/>
      <c r="E654" s="35"/>
    </row>
    <row r="655">
      <c r="A655" s="34"/>
      <c r="B655" s="34"/>
      <c r="C655" s="34"/>
      <c r="D655" s="34"/>
      <c r="E655" s="35"/>
    </row>
    <row r="656">
      <c r="A656" s="34"/>
      <c r="B656" s="34"/>
      <c r="C656" s="34"/>
      <c r="D656" s="34"/>
      <c r="E656" s="35"/>
    </row>
    <row r="657">
      <c r="A657" s="34"/>
      <c r="B657" s="34"/>
      <c r="C657" s="34"/>
      <c r="D657" s="34"/>
      <c r="E657" s="35"/>
    </row>
    <row r="658">
      <c r="A658" s="34"/>
      <c r="B658" s="34"/>
      <c r="C658" s="34"/>
      <c r="D658" s="34"/>
      <c r="E658" s="35"/>
    </row>
    <row r="659">
      <c r="A659" s="34"/>
      <c r="B659" s="34"/>
      <c r="C659" s="34"/>
      <c r="D659" s="34"/>
      <c r="E659" s="35"/>
    </row>
    <row r="660">
      <c r="A660" s="34"/>
      <c r="B660" s="34"/>
      <c r="C660" s="34"/>
      <c r="D660" s="34"/>
      <c r="E660" s="35"/>
    </row>
    <row r="661">
      <c r="A661" s="34"/>
      <c r="B661" s="34"/>
      <c r="C661" s="34"/>
      <c r="D661" s="34"/>
      <c r="E661" s="35"/>
    </row>
    <row r="662">
      <c r="A662" s="34"/>
      <c r="B662" s="34"/>
      <c r="C662" s="34"/>
      <c r="D662" s="34"/>
      <c r="E662" s="35"/>
    </row>
    <row r="663">
      <c r="A663" s="34"/>
      <c r="B663" s="34"/>
      <c r="C663" s="34"/>
      <c r="D663" s="34"/>
      <c r="E663" s="35"/>
    </row>
    <row r="664">
      <c r="A664" s="34"/>
      <c r="B664" s="34"/>
      <c r="C664" s="34"/>
      <c r="D664" s="34"/>
      <c r="E664" s="35"/>
    </row>
    <row r="665">
      <c r="A665" s="34"/>
      <c r="B665" s="34"/>
      <c r="C665" s="34"/>
      <c r="D665" s="34"/>
      <c r="E665" s="35"/>
    </row>
    <row r="666">
      <c r="A666" s="34"/>
      <c r="B666" s="34"/>
      <c r="C666" s="34"/>
      <c r="D666" s="34"/>
      <c r="E666" s="35"/>
    </row>
    <row r="667">
      <c r="A667" s="34"/>
      <c r="B667" s="34"/>
      <c r="C667" s="34"/>
      <c r="D667" s="34"/>
      <c r="E667" s="35"/>
    </row>
    <row r="668">
      <c r="A668" s="34"/>
      <c r="B668" s="34"/>
      <c r="C668" s="34"/>
      <c r="D668" s="34"/>
      <c r="E668" s="35"/>
    </row>
    <row r="669">
      <c r="A669" s="34"/>
      <c r="B669" s="34"/>
      <c r="C669" s="34"/>
      <c r="D669" s="34"/>
      <c r="E669" s="35"/>
    </row>
    <row r="670">
      <c r="A670" s="34"/>
      <c r="B670" s="34"/>
      <c r="C670" s="34"/>
      <c r="D670" s="34"/>
      <c r="E670" s="35"/>
    </row>
    <row r="671">
      <c r="A671" s="34"/>
      <c r="B671" s="34"/>
      <c r="C671" s="34"/>
      <c r="D671" s="34"/>
      <c r="E671" s="35"/>
    </row>
    <row r="672">
      <c r="A672" s="34"/>
      <c r="B672" s="34"/>
      <c r="C672" s="34"/>
      <c r="D672" s="34"/>
      <c r="E672" s="35"/>
    </row>
    <row r="673">
      <c r="A673" s="34"/>
      <c r="B673" s="34"/>
      <c r="C673" s="34"/>
      <c r="D673" s="34"/>
      <c r="E673" s="35"/>
    </row>
    <row r="674">
      <c r="A674" s="34"/>
      <c r="B674" s="34"/>
      <c r="C674" s="34"/>
      <c r="D674" s="34"/>
      <c r="E674" s="35"/>
    </row>
    <row r="675">
      <c r="A675" s="34"/>
      <c r="B675" s="34"/>
      <c r="C675" s="34"/>
      <c r="D675" s="34"/>
      <c r="E675" s="35"/>
    </row>
    <row r="676">
      <c r="A676" s="34"/>
      <c r="B676" s="34"/>
      <c r="C676" s="34"/>
      <c r="D676" s="34"/>
      <c r="E676" s="35"/>
    </row>
    <row r="677">
      <c r="A677" s="34"/>
      <c r="B677" s="34"/>
      <c r="C677" s="34"/>
      <c r="D677" s="34"/>
      <c r="E677" s="35"/>
    </row>
    <row r="678">
      <c r="A678" s="34"/>
      <c r="B678" s="34"/>
      <c r="C678" s="34"/>
      <c r="D678" s="34"/>
      <c r="E678" s="35"/>
    </row>
    <row r="679">
      <c r="A679" s="34"/>
      <c r="B679" s="34"/>
      <c r="C679" s="34"/>
      <c r="D679" s="34"/>
      <c r="E679" s="35"/>
    </row>
    <row r="680">
      <c r="A680" s="34"/>
      <c r="B680" s="34"/>
      <c r="C680" s="34"/>
      <c r="D680" s="34"/>
      <c r="E680" s="35"/>
    </row>
    <row r="681">
      <c r="A681" s="34"/>
      <c r="B681" s="34"/>
      <c r="C681" s="34"/>
      <c r="D681" s="34"/>
      <c r="E681" s="35"/>
    </row>
    <row r="682">
      <c r="A682" s="34"/>
      <c r="B682" s="34"/>
      <c r="C682" s="34"/>
      <c r="D682" s="34"/>
      <c r="E682" s="35"/>
    </row>
    <row r="683">
      <c r="A683" s="34"/>
      <c r="B683" s="34"/>
      <c r="C683" s="34"/>
      <c r="D683" s="34"/>
      <c r="E683" s="35"/>
    </row>
    <row r="684">
      <c r="A684" s="34"/>
      <c r="B684" s="34"/>
      <c r="C684" s="34"/>
      <c r="D684" s="34"/>
      <c r="E684" s="35"/>
    </row>
    <row r="685">
      <c r="A685" s="34"/>
      <c r="B685" s="34"/>
      <c r="C685" s="34"/>
      <c r="D685" s="34"/>
      <c r="E685" s="35"/>
    </row>
    <row r="686">
      <c r="A686" s="34"/>
      <c r="B686" s="34"/>
      <c r="C686" s="34"/>
      <c r="D686" s="34"/>
      <c r="E686" s="35"/>
    </row>
    <row r="687">
      <c r="A687" s="34"/>
      <c r="B687" s="34"/>
      <c r="C687" s="34"/>
      <c r="D687" s="34"/>
      <c r="E687" s="35"/>
    </row>
    <row r="688">
      <c r="A688" s="34"/>
      <c r="B688" s="34"/>
      <c r="C688" s="34"/>
      <c r="D688" s="34"/>
      <c r="E688" s="35"/>
    </row>
    <row r="689">
      <c r="A689" s="34"/>
      <c r="B689" s="34"/>
      <c r="C689" s="34"/>
      <c r="D689" s="34"/>
      <c r="E689" s="35"/>
    </row>
    <row r="690">
      <c r="A690" s="34"/>
      <c r="B690" s="34"/>
      <c r="C690" s="34"/>
      <c r="D690" s="34"/>
      <c r="E690" s="35"/>
    </row>
    <row r="691">
      <c r="A691" s="34"/>
      <c r="B691" s="34"/>
      <c r="C691" s="34"/>
      <c r="D691" s="34"/>
      <c r="E691" s="35"/>
    </row>
    <row r="692">
      <c r="A692" s="34"/>
      <c r="B692" s="34"/>
      <c r="C692" s="34"/>
      <c r="D692" s="34"/>
      <c r="E692" s="35"/>
    </row>
    <row r="693">
      <c r="A693" s="34"/>
      <c r="B693" s="34"/>
      <c r="C693" s="34"/>
      <c r="D693" s="34"/>
      <c r="E693" s="35"/>
    </row>
    <row r="694">
      <c r="A694" s="34"/>
      <c r="B694" s="34"/>
      <c r="C694" s="34"/>
      <c r="D694" s="34"/>
      <c r="E694" s="35"/>
    </row>
    <row r="695">
      <c r="A695" s="34"/>
      <c r="B695" s="34"/>
      <c r="C695" s="34"/>
      <c r="D695" s="34"/>
      <c r="E695" s="35"/>
    </row>
    <row r="696">
      <c r="A696" s="34"/>
      <c r="B696" s="34"/>
      <c r="C696" s="34"/>
      <c r="D696" s="34"/>
      <c r="E696" s="35"/>
    </row>
    <row r="697">
      <c r="A697" s="34"/>
      <c r="B697" s="34"/>
      <c r="C697" s="34"/>
      <c r="D697" s="34"/>
      <c r="E697" s="35"/>
    </row>
    <row r="698">
      <c r="A698" s="34"/>
      <c r="B698" s="34"/>
      <c r="C698" s="34"/>
      <c r="D698" s="34"/>
      <c r="E698" s="35"/>
    </row>
    <row r="699">
      <c r="A699" s="34"/>
      <c r="B699" s="34"/>
      <c r="C699" s="34"/>
      <c r="D699" s="34"/>
      <c r="E699" s="35"/>
    </row>
    <row r="700">
      <c r="A700" s="34"/>
      <c r="B700" s="34"/>
      <c r="C700" s="34"/>
      <c r="D700" s="34"/>
      <c r="E700" s="35"/>
    </row>
    <row r="701">
      <c r="A701" s="34"/>
      <c r="B701" s="34"/>
      <c r="C701" s="34"/>
      <c r="D701" s="34"/>
      <c r="E701" s="35"/>
    </row>
    <row r="702">
      <c r="A702" s="34"/>
      <c r="B702" s="34"/>
      <c r="C702" s="34"/>
      <c r="D702" s="34"/>
      <c r="E702" s="35"/>
    </row>
    <row r="703">
      <c r="A703" s="34"/>
      <c r="B703" s="34"/>
      <c r="C703" s="34"/>
      <c r="D703" s="34"/>
      <c r="E703" s="35"/>
    </row>
    <row r="704">
      <c r="A704" s="34"/>
      <c r="B704" s="34"/>
      <c r="C704" s="34"/>
      <c r="D704" s="34"/>
      <c r="E704" s="35"/>
    </row>
    <row r="705">
      <c r="A705" s="34"/>
      <c r="B705" s="34"/>
      <c r="C705" s="34"/>
      <c r="D705" s="34"/>
      <c r="E705" s="35"/>
    </row>
    <row r="706">
      <c r="A706" s="34"/>
      <c r="B706" s="34"/>
      <c r="C706" s="34"/>
      <c r="D706" s="34"/>
      <c r="E706" s="35"/>
    </row>
    <row r="707">
      <c r="A707" s="34"/>
      <c r="B707" s="34"/>
      <c r="C707" s="34"/>
      <c r="D707" s="34"/>
      <c r="E707" s="35"/>
    </row>
    <row r="708">
      <c r="A708" s="34"/>
      <c r="B708" s="34"/>
      <c r="C708" s="34"/>
      <c r="D708" s="34"/>
      <c r="E708" s="35"/>
    </row>
    <row r="709">
      <c r="A709" s="34"/>
      <c r="B709" s="34"/>
      <c r="C709" s="34"/>
      <c r="D709" s="34"/>
      <c r="E709" s="35"/>
    </row>
    <row r="710">
      <c r="A710" s="34"/>
      <c r="B710" s="34"/>
      <c r="C710" s="34"/>
      <c r="D710" s="34"/>
      <c r="E710" s="35"/>
    </row>
    <row r="711">
      <c r="A711" s="34"/>
      <c r="B711" s="34"/>
      <c r="C711" s="34"/>
      <c r="D711" s="34"/>
      <c r="E711" s="35"/>
    </row>
    <row r="712">
      <c r="A712" s="34"/>
      <c r="B712" s="34"/>
      <c r="C712" s="34"/>
      <c r="D712" s="34"/>
      <c r="E712" s="35"/>
    </row>
    <row r="713">
      <c r="A713" s="34"/>
      <c r="B713" s="34"/>
      <c r="C713" s="34"/>
      <c r="D713" s="34"/>
      <c r="E713" s="35"/>
    </row>
    <row r="714">
      <c r="A714" s="34"/>
      <c r="B714" s="34"/>
      <c r="C714" s="34"/>
      <c r="D714" s="34"/>
      <c r="E714" s="35"/>
    </row>
    <row r="715">
      <c r="A715" s="34"/>
      <c r="B715" s="34"/>
      <c r="C715" s="34"/>
      <c r="D715" s="34"/>
      <c r="E715" s="35"/>
    </row>
    <row r="716">
      <c r="A716" s="34"/>
      <c r="B716" s="34"/>
      <c r="C716" s="34"/>
      <c r="D716" s="34"/>
      <c r="E716" s="35"/>
    </row>
    <row r="717">
      <c r="A717" s="34"/>
      <c r="B717" s="34"/>
      <c r="C717" s="34"/>
      <c r="D717" s="34"/>
      <c r="E717" s="35"/>
    </row>
    <row r="718">
      <c r="A718" s="34"/>
      <c r="B718" s="34"/>
      <c r="C718" s="34"/>
      <c r="D718" s="34"/>
      <c r="E718" s="35"/>
    </row>
    <row r="719">
      <c r="A719" s="34"/>
      <c r="B719" s="34"/>
      <c r="C719" s="34"/>
      <c r="D719" s="34"/>
      <c r="E719" s="35"/>
    </row>
    <row r="720">
      <c r="A720" s="34"/>
      <c r="B720" s="34"/>
      <c r="C720" s="34"/>
      <c r="D720" s="34"/>
      <c r="E720" s="35"/>
    </row>
    <row r="721">
      <c r="A721" s="34"/>
      <c r="B721" s="34"/>
      <c r="C721" s="34"/>
      <c r="D721" s="34"/>
      <c r="E721" s="35"/>
    </row>
    <row r="722">
      <c r="A722" s="34"/>
      <c r="B722" s="34"/>
      <c r="C722" s="34"/>
      <c r="D722" s="34"/>
      <c r="E722" s="35"/>
    </row>
    <row r="723">
      <c r="A723" s="34"/>
      <c r="B723" s="34"/>
      <c r="C723" s="34"/>
      <c r="D723" s="34"/>
      <c r="E723" s="35"/>
    </row>
    <row r="724">
      <c r="A724" s="34"/>
      <c r="B724" s="34"/>
      <c r="C724" s="34"/>
      <c r="D724" s="34"/>
      <c r="E724" s="35"/>
    </row>
    <row r="725">
      <c r="A725" s="34"/>
      <c r="B725" s="34"/>
      <c r="C725" s="34"/>
      <c r="D725" s="34"/>
      <c r="E725" s="35"/>
    </row>
    <row r="726">
      <c r="A726" s="34"/>
      <c r="B726" s="34"/>
      <c r="C726" s="34"/>
      <c r="D726" s="34"/>
      <c r="E726" s="35"/>
    </row>
    <row r="727">
      <c r="A727" s="34"/>
      <c r="B727" s="34"/>
      <c r="C727" s="34"/>
      <c r="D727" s="34"/>
      <c r="E727" s="35"/>
    </row>
    <row r="728">
      <c r="A728" s="34"/>
      <c r="B728" s="34"/>
      <c r="C728" s="34"/>
      <c r="D728" s="34"/>
      <c r="E728" s="35"/>
    </row>
    <row r="729">
      <c r="A729" s="34"/>
      <c r="B729" s="34"/>
      <c r="C729" s="34"/>
      <c r="D729" s="34"/>
      <c r="E729" s="35"/>
    </row>
    <row r="730">
      <c r="A730" s="34"/>
      <c r="B730" s="34"/>
      <c r="C730" s="34"/>
      <c r="D730" s="34"/>
      <c r="E730" s="35"/>
    </row>
    <row r="731">
      <c r="A731" s="34"/>
      <c r="B731" s="34"/>
      <c r="C731" s="34"/>
      <c r="D731" s="34"/>
      <c r="E731" s="35"/>
    </row>
    <row r="732">
      <c r="A732" s="34"/>
      <c r="B732" s="34"/>
      <c r="C732" s="34"/>
      <c r="D732" s="34"/>
      <c r="E732" s="35"/>
    </row>
    <row r="733">
      <c r="A733" s="34"/>
      <c r="B733" s="34"/>
      <c r="C733" s="34"/>
      <c r="D733" s="34"/>
      <c r="E733" s="35"/>
    </row>
    <row r="734">
      <c r="A734" s="34"/>
      <c r="B734" s="34"/>
      <c r="C734" s="34"/>
      <c r="D734" s="34"/>
      <c r="E734" s="35"/>
    </row>
    <row r="735">
      <c r="A735" s="34"/>
      <c r="B735" s="34"/>
      <c r="C735" s="34"/>
      <c r="D735" s="34"/>
      <c r="E735" s="35"/>
    </row>
    <row r="736">
      <c r="A736" s="34"/>
      <c r="B736" s="34"/>
      <c r="C736" s="34"/>
      <c r="D736" s="34"/>
      <c r="E736" s="35"/>
    </row>
    <row r="737">
      <c r="A737" s="34"/>
      <c r="B737" s="34"/>
      <c r="C737" s="34"/>
      <c r="D737" s="34"/>
      <c r="E737" s="35"/>
    </row>
    <row r="738">
      <c r="A738" s="34"/>
      <c r="B738" s="34"/>
      <c r="C738" s="34"/>
      <c r="D738" s="34"/>
      <c r="E738" s="35"/>
    </row>
    <row r="739">
      <c r="A739" s="34"/>
      <c r="B739" s="34"/>
      <c r="C739" s="34"/>
      <c r="D739" s="34"/>
      <c r="E739" s="35"/>
    </row>
    <row r="740">
      <c r="A740" s="34"/>
      <c r="B740" s="34"/>
      <c r="C740" s="34"/>
      <c r="D740" s="34"/>
      <c r="E740" s="35"/>
    </row>
    <row r="741">
      <c r="A741" s="34"/>
      <c r="B741" s="34"/>
      <c r="C741" s="34"/>
      <c r="D741" s="34"/>
      <c r="E741" s="35"/>
    </row>
    <row r="742">
      <c r="A742" s="34"/>
      <c r="B742" s="34"/>
      <c r="C742" s="34"/>
      <c r="D742" s="34"/>
      <c r="E742" s="35"/>
    </row>
    <row r="743">
      <c r="A743" s="34"/>
      <c r="B743" s="34"/>
      <c r="C743" s="34"/>
      <c r="D743" s="34"/>
      <c r="E743" s="35"/>
    </row>
    <row r="744">
      <c r="A744" s="34"/>
      <c r="B744" s="34"/>
      <c r="C744" s="34"/>
      <c r="D744" s="34"/>
      <c r="E744" s="35"/>
    </row>
    <row r="745">
      <c r="A745" s="34"/>
      <c r="B745" s="34"/>
      <c r="C745" s="34"/>
      <c r="D745" s="34"/>
      <c r="E745" s="35"/>
    </row>
    <row r="746">
      <c r="A746" s="34"/>
      <c r="B746" s="34"/>
      <c r="C746" s="34"/>
      <c r="D746" s="34"/>
      <c r="E746" s="35"/>
    </row>
    <row r="747">
      <c r="A747" s="34"/>
      <c r="B747" s="34"/>
      <c r="C747" s="34"/>
      <c r="D747" s="34"/>
      <c r="E747" s="35"/>
    </row>
    <row r="748">
      <c r="A748" s="34"/>
      <c r="B748" s="34"/>
      <c r="C748" s="34"/>
      <c r="D748" s="34"/>
      <c r="E748" s="35"/>
    </row>
    <row r="749">
      <c r="A749" s="34"/>
      <c r="B749" s="34"/>
      <c r="C749" s="34"/>
      <c r="D749" s="34"/>
      <c r="E749" s="35"/>
    </row>
    <row r="750">
      <c r="A750" s="34"/>
      <c r="B750" s="34"/>
      <c r="C750" s="34"/>
      <c r="D750" s="34"/>
      <c r="E750" s="35"/>
    </row>
    <row r="751">
      <c r="A751" s="34"/>
      <c r="B751" s="34"/>
      <c r="C751" s="34"/>
      <c r="D751" s="34"/>
      <c r="E751" s="35"/>
    </row>
    <row r="752">
      <c r="A752" s="34"/>
      <c r="B752" s="34"/>
      <c r="C752" s="34"/>
      <c r="D752" s="34"/>
      <c r="E752" s="35"/>
    </row>
    <row r="753">
      <c r="A753" s="34"/>
      <c r="B753" s="34"/>
      <c r="C753" s="34"/>
      <c r="D753" s="34"/>
      <c r="E753" s="35"/>
    </row>
    <row r="754">
      <c r="A754" s="34"/>
      <c r="B754" s="34"/>
      <c r="C754" s="34"/>
      <c r="D754" s="34"/>
      <c r="E754" s="35"/>
    </row>
    <row r="755">
      <c r="A755" s="34"/>
      <c r="B755" s="34"/>
      <c r="C755" s="34"/>
      <c r="D755" s="34"/>
      <c r="E755" s="35"/>
    </row>
    <row r="756">
      <c r="A756" s="34"/>
      <c r="B756" s="34"/>
      <c r="C756" s="34"/>
      <c r="D756" s="34"/>
      <c r="E756" s="35"/>
    </row>
    <row r="757">
      <c r="A757" s="34"/>
      <c r="B757" s="34"/>
      <c r="C757" s="34"/>
      <c r="D757" s="34"/>
      <c r="E757" s="35"/>
    </row>
    <row r="758">
      <c r="A758" s="34"/>
      <c r="B758" s="34"/>
      <c r="C758" s="34"/>
      <c r="D758" s="34"/>
      <c r="E758" s="35"/>
    </row>
    <row r="759">
      <c r="A759" s="34"/>
      <c r="B759" s="34"/>
      <c r="C759" s="34"/>
      <c r="D759" s="34"/>
      <c r="E759" s="35"/>
    </row>
    <row r="760">
      <c r="A760" s="34"/>
      <c r="B760" s="34"/>
      <c r="C760" s="34"/>
      <c r="D760" s="34"/>
      <c r="E760" s="35"/>
    </row>
    <row r="761">
      <c r="A761" s="34"/>
      <c r="B761" s="34"/>
      <c r="C761" s="34"/>
      <c r="D761" s="34"/>
      <c r="E761" s="35"/>
    </row>
    <row r="762">
      <c r="A762" s="34"/>
      <c r="B762" s="34"/>
      <c r="C762" s="34"/>
      <c r="D762" s="34"/>
      <c r="E762" s="35"/>
    </row>
    <row r="763">
      <c r="A763" s="34"/>
      <c r="B763" s="34"/>
      <c r="C763" s="34"/>
      <c r="D763" s="34"/>
      <c r="E763" s="35"/>
    </row>
    <row r="764">
      <c r="A764" s="34"/>
      <c r="B764" s="34"/>
      <c r="C764" s="34"/>
      <c r="D764" s="34"/>
      <c r="E764" s="35"/>
    </row>
    <row r="765">
      <c r="A765" s="34"/>
      <c r="B765" s="34"/>
      <c r="C765" s="34"/>
      <c r="D765" s="34"/>
      <c r="E765" s="35"/>
    </row>
    <row r="766">
      <c r="A766" s="34"/>
      <c r="B766" s="34"/>
      <c r="C766" s="34"/>
      <c r="D766" s="34"/>
      <c r="E766" s="35"/>
    </row>
    <row r="767">
      <c r="A767" s="34"/>
      <c r="B767" s="34"/>
      <c r="C767" s="34"/>
      <c r="D767" s="34"/>
      <c r="E767" s="35"/>
    </row>
    <row r="768">
      <c r="A768" s="34"/>
      <c r="B768" s="34"/>
      <c r="C768" s="34"/>
      <c r="D768" s="34"/>
      <c r="E768" s="35"/>
    </row>
    <row r="769">
      <c r="A769" s="34"/>
      <c r="B769" s="34"/>
      <c r="C769" s="34"/>
      <c r="D769" s="34"/>
      <c r="E769" s="35"/>
    </row>
    <row r="770">
      <c r="A770" s="34"/>
      <c r="B770" s="34"/>
      <c r="C770" s="34"/>
      <c r="D770" s="34"/>
      <c r="E770" s="35"/>
    </row>
    <row r="771">
      <c r="A771" s="34"/>
      <c r="B771" s="34"/>
      <c r="C771" s="34"/>
      <c r="D771" s="34"/>
      <c r="E771" s="35"/>
    </row>
    <row r="772">
      <c r="A772" s="34"/>
      <c r="B772" s="34"/>
      <c r="C772" s="34"/>
      <c r="D772" s="34"/>
      <c r="E772" s="35"/>
    </row>
    <row r="773">
      <c r="A773" s="34"/>
      <c r="B773" s="34"/>
      <c r="C773" s="34"/>
      <c r="D773" s="34"/>
      <c r="E773" s="35"/>
    </row>
    <row r="774">
      <c r="A774" s="34"/>
      <c r="B774" s="34"/>
      <c r="C774" s="34"/>
      <c r="D774" s="34"/>
      <c r="E774" s="35"/>
    </row>
    <row r="775">
      <c r="A775" s="34"/>
      <c r="B775" s="34"/>
      <c r="C775" s="34"/>
      <c r="D775" s="34"/>
      <c r="E775" s="35"/>
    </row>
    <row r="776">
      <c r="A776" s="34"/>
      <c r="B776" s="34"/>
      <c r="C776" s="34"/>
      <c r="D776" s="34"/>
      <c r="E776" s="35"/>
    </row>
    <row r="777">
      <c r="A777" s="34"/>
      <c r="B777" s="34"/>
      <c r="C777" s="34"/>
      <c r="D777" s="34"/>
      <c r="E777" s="35"/>
    </row>
    <row r="778">
      <c r="A778" s="34"/>
      <c r="B778" s="34"/>
      <c r="C778" s="34"/>
      <c r="D778" s="34"/>
      <c r="E778" s="35"/>
    </row>
    <row r="779">
      <c r="A779" s="34"/>
      <c r="B779" s="34"/>
      <c r="C779" s="34"/>
      <c r="D779" s="34"/>
      <c r="E779" s="35"/>
    </row>
    <row r="780">
      <c r="A780" s="34"/>
      <c r="B780" s="34"/>
      <c r="C780" s="34"/>
      <c r="D780" s="34"/>
      <c r="E780" s="35"/>
    </row>
    <row r="781">
      <c r="A781" s="34"/>
      <c r="B781" s="34"/>
      <c r="C781" s="34"/>
      <c r="D781" s="34"/>
      <c r="E781" s="35"/>
    </row>
    <row r="782">
      <c r="A782" s="34"/>
      <c r="B782" s="34"/>
      <c r="C782" s="34"/>
      <c r="D782" s="34"/>
      <c r="E782" s="35"/>
    </row>
    <row r="783">
      <c r="A783" s="34"/>
      <c r="B783" s="34"/>
      <c r="C783" s="34"/>
      <c r="D783" s="34"/>
      <c r="E783" s="35"/>
    </row>
    <row r="784">
      <c r="A784" s="34"/>
      <c r="B784" s="34"/>
      <c r="C784" s="34"/>
      <c r="D784" s="34"/>
      <c r="E784" s="35"/>
    </row>
    <row r="785">
      <c r="A785" s="34"/>
      <c r="B785" s="34"/>
      <c r="C785" s="34"/>
      <c r="D785" s="34"/>
      <c r="E785" s="35"/>
    </row>
    <row r="786">
      <c r="A786" s="34"/>
      <c r="B786" s="34"/>
      <c r="C786" s="34"/>
      <c r="D786" s="34"/>
      <c r="E786" s="35"/>
    </row>
    <row r="787">
      <c r="A787" s="34"/>
      <c r="B787" s="34"/>
      <c r="C787" s="34"/>
      <c r="D787" s="34"/>
      <c r="E787" s="35"/>
    </row>
    <row r="788">
      <c r="A788" s="34"/>
      <c r="B788" s="34"/>
      <c r="C788" s="34"/>
      <c r="D788" s="34"/>
      <c r="E788" s="35"/>
    </row>
    <row r="789">
      <c r="A789" s="34"/>
      <c r="B789" s="34"/>
      <c r="C789" s="34"/>
      <c r="D789" s="34"/>
      <c r="E789" s="35"/>
    </row>
    <row r="790">
      <c r="A790" s="34"/>
      <c r="B790" s="34"/>
      <c r="C790" s="34"/>
      <c r="D790" s="34"/>
      <c r="E790" s="35"/>
    </row>
    <row r="791">
      <c r="A791" s="34"/>
      <c r="B791" s="34"/>
      <c r="C791" s="34"/>
      <c r="D791" s="34"/>
      <c r="E791" s="35"/>
    </row>
    <row r="792">
      <c r="A792" s="34"/>
      <c r="B792" s="34"/>
      <c r="C792" s="34"/>
      <c r="D792" s="34"/>
      <c r="E792" s="35"/>
    </row>
    <row r="793">
      <c r="A793" s="34"/>
      <c r="B793" s="34"/>
      <c r="C793" s="34"/>
      <c r="D793" s="34"/>
      <c r="E793" s="35"/>
    </row>
    <row r="794">
      <c r="A794" s="34"/>
      <c r="B794" s="34"/>
      <c r="C794" s="34"/>
      <c r="D794" s="34"/>
      <c r="E794" s="35"/>
    </row>
    <row r="795">
      <c r="A795" s="34"/>
      <c r="B795" s="34"/>
      <c r="C795" s="34"/>
      <c r="D795" s="34"/>
      <c r="E795" s="35"/>
    </row>
    <row r="796">
      <c r="A796" s="34"/>
      <c r="B796" s="34"/>
      <c r="C796" s="34"/>
      <c r="D796" s="34"/>
      <c r="E796" s="35"/>
    </row>
    <row r="797">
      <c r="A797" s="34"/>
      <c r="B797" s="34"/>
      <c r="C797" s="34"/>
      <c r="D797" s="34"/>
      <c r="E797" s="35"/>
    </row>
    <row r="798">
      <c r="A798" s="34"/>
      <c r="B798" s="34"/>
      <c r="C798" s="34"/>
      <c r="D798" s="34"/>
      <c r="E798" s="35"/>
    </row>
    <row r="799">
      <c r="A799" s="34"/>
      <c r="B799" s="34"/>
      <c r="C799" s="34"/>
      <c r="D799" s="34"/>
      <c r="E799" s="35"/>
    </row>
    <row r="800">
      <c r="A800" s="34"/>
      <c r="B800" s="34"/>
      <c r="C800" s="34"/>
      <c r="D800" s="34"/>
      <c r="E800" s="35"/>
    </row>
    <row r="801">
      <c r="A801" s="34"/>
      <c r="B801" s="34"/>
      <c r="C801" s="34"/>
      <c r="D801" s="34"/>
      <c r="E801" s="35"/>
    </row>
    <row r="802">
      <c r="A802" s="34"/>
      <c r="B802" s="34"/>
      <c r="C802" s="34"/>
      <c r="D802" s="34"/>
      <c r="E802" s="35"/>
    </row>
    <row r="803">
      <c r="A803" s="34"/>
      <c r="B803" s="34"/>
      <c r="C803" s="34"/>
      <c r="D803" s="34"/>
      <c r="E803" s="35"/>
    </row>
    <row r="804">
      <c r="A804" s="34"/>
      <c r="B804" s="34"/>
      <c r="C804" s="34"/>
      <c r="D804" s="34"/>
      <c r="E804" s="35"/>
    </row>
    <row r="805">
      <c r="A805" s="34"/>
      <c r="B805" s="34"/>
      <c r="C805" s="34"/>
      <c r="D805" s="34"/>
      <c r="E805" s="35"/>
    </row>
    <row r="806">
      <c r="A806" s="34"/>
      <c r="B806" s="34"/>
      <c r="C806" s="34"/>
      <c r="D806" s="34"/>
      <c r="E806" s="35"/>
    </row>
    <row r="807">
      <c r="A807" s="34"/>
      <c r="B807" s="34"/>
      <c r="C807" s="34"/>
      <c r="D807" s="34"/>
      <c r="E807" s="35"/>
    </row>
    <row r="808">
      <c r="A808" s="34"/>
      <c r="B808" s="34"/>
      <c r="C808" s="34"/>
      <c r="D808" s="34"/>
      <c r="E808" s="35"/>
    </row>
    <row r="809">
      <c r="A809" s="34"/>
      <c r="B809" s="34"/>
      <c r="C809" s="34"/>
      <c r="D809" s="34"/>
      <c r="E809" s="35"/>
    </row>
    <row r="810">
      <c r="A810" s="34"/>
      <c r="B810" s="34"/>
      <c r="C810" s="34"/>
      <c r="D810" s="34"/>
      <c r="E810" s="35"/>
    </row>
    <row r="811">
      <c r="A811" s="34"/>
      <c r="B811" s="34"/>
      <c r="C811" s="34"/>
      <c r="D811" s="34"/>
      <c r="E811" s="35"/>
    </row>
    <row r="812">
      <c r="A812" s="34"/>
      <c r="B812" s="34"/>
      <c r="C812" s="34"/>
      <c r="D812" s="34"/>
      <c r="E812" s="35"/>
    </row>
    <row r="813">
      <c r="A813" s="34"/>
      <c r="B813" s="34"/>
      <c r="C813" s="34"/>
      <c r="D813" s="34"/>
      <c r="E813" s="35"/>
    </row>
    <row r="814">
      <c r="A814" s="34"/>
      <c r="B814" s="34"/>
      <c r="C814" s="34"/>
      <c r="D814" s="34"/>
      <c r="E814" s="35"/>
    </row>
    <row r="815">
      <c r="A815" s="34"/>
      <c r="B815" s="34"/>
      <c r="C815" s="34"/>
      <c r="D815" s="34"/>
      <c r="E815" s="35"/>
    </row>
    <row r="816">
      <c r="A816" s="34"/>
      <c r="B816" s="34"/>
      <c r="C816" s="34"/>
      <c r="D816" s="34"/>
      <c r="E816" s="35"/>
    </row>
    <row r="817">
      <c r="A817" s="34"/>
      <c r="B817" s="34"/>
      <c r="C817" s="34"/>
      <c r="D817" s="34"/>
      <c r="E817" s="35"/>
    </row>
    <row r="818">
      <c r="A818" s="34"/>
      <c r="B818" s="34"/>
      <c r="C818" s="34"/>
      <c r="D818" s="34"/>
      <c r="E818" s="35"/>
    </row>
    <row r="819">
      <c r="A819" s="34"/>
      <c r="B819" s="34"/>
      <c r="C819" s="34"/>
      <c r="D819" s="34"/>
      <c r="E819" s="35"/>
    </row>
    <row r="820">
      <c r="A820" s="34"/>
      <c r="B820" s="34"/>
      <c r="C820" s="34"/>
      <c r="D820" s="34"/>
      <c r="E820" s="35"/>
    </row>
    <row r="821">
      <c r="A821" s="34"/>
      <c r="B821" s="34"/>
      <c r="C821" s="34"/>
      <c r="D821" s="34"/>
      <c r="E821" s="35"/>
    </row>
    <row r="822">
      <c r="A822" s="34"/>
      <c r="B822" s="34"/>
      <c r="C822" s="34"/>
      <c r="D822" s="34"/>
      <c r="E822" s="35"/>
    </row>
    <row r="823">
      <c r="A823" s="34"/>
      <c r="B823" s="34"/>
      <c r="C823" s="34"/>
      <c r="D823" s="34"/>
      <c r="E823" s="35"/>
    </row>
    <row r="824">
      <c r="A824" s="34"/>
      <c r="B824" s="34"/>
      <c r="C824" s="34"/>
      <c r="D824" s="34"/>
      <c r="E824" s="35"/>
    </row>
    <row r="825">
      <c r="A825" s="34"/>
      <c r="B825" s="34"/>
      <c r="C825" s="34"/>
      <c r="D825" s="34"/>
      <c r="E825" s="35"/>
    </row>
    <row r="826">
      <c r="A826" s="34"/>
      <c r="B826" s="34"/>
      <c r="C826" s="34"/>
      <c r="D826" s="34"/>
      <c r="E826" s="35"/>
    </row>
    <row r="827">
      <c r="A827" s="34"/>
      <c r="B827" s="34"/>
      <c r="C827" s="34"/>
      <c r="D827" s="34"/>
      <c r="E827" s="35"/>
    </row>
    <row r="828">
      <c r="A828" s="34"/>
      <c r="B828" s="34"/>
      <c r="C828" s="34"/>
      <c r="D828" s="34"/>
      <c r="E828" s="35"/>
    </row>
    <row r="829">
      <c r="A829" s="34"/>
      <c r="B829" s="34"/>
      <c r="C829" s="34"/>
      <c r="D829" s="34"/>
      <c r="E829" s="35"/>
    </row>
    <row r="830">
      <c r="A830" s="34"/>
      <c r="B830" s="34"/>
      <c r="C830" s="34"/>
      <c r="D830" s="34"/>
      <c r="E830" s="35"/>
    </row>
    <row r="831">
      <c r="A831" s="34"/>
      <c r="B831" s="34"/>
      <c r="C831" s="34"/>
      <c r="D831" s="34"/>
      <c r="E831" s="35"/>
    </row>
    <row r="832">
      <c r="A832" s="34"/>
      <c r="B832" s="34"/>
      <c r="C832" s="34"/>
      <c r="D832" s="34"/>
      <c r="E832" s="35"/>
    </row>
    <row r="833">
      <c r="A833" s="34"/>
      <c r="B833" s="34"/>
      <c r="C833" s="34"/>
      <c r="D833" s="34"/>
      <c r="E833" s="35"/>
    </row>
    <row r="834">
      <c r="A834" s="34"/>
      <c r="B834" s="34"/>
      <c r="C834" s="34"/>
      <c r="D834" s="34"/>
      <c r="E834" s="35"/>
    </row>
    <row r="835">
      <c r="A835" s="34"/>
      <c r="B835" s="34"/>
      <c r="C835" s="34"/>
      <c r="D835" s="34"/>
      <c r="E835" s="35"/>
    </row>
    <row r="836">
      <c r="A836" s="34"/>
      <c r="B836" s="34"/>
      <c r="C836" s="34"/>
      <c r="D836" s="34"/>
      <c r="E836" s="35"/>
    </row>
    <row r="837">
      <c r="A837" s="34"/>
      <c r="B837" s="34"/>
      <c r="C837" s="34"/>
      <c r="D837" s="34"/>
      <c r="E837" s="35"/>
    </row>
    <row r="838">
      <c r="A838" s="34"/>
      <c r="B838" s="34"/>
      <c r="C838" s="34"/>
      <c r="D838" s="34"/>
      <c r="E838" s="35"/>
    </row>
    <row r="839">
      <c r="A839" s="34"/>
      <c r="B839" s="34"/>
      <c r="C839" s="34"/>
      <c r="D839" s="34"/>
      <c r="E839" s="35"/>
    </row>
    <row r="840">
      <c r="A840" s="34"/>
      <c r="B840" s="34"/>
      <c r="C840" s="34"/>
      <c r="D840" s="34"/>
      <c r="E840" s="35"/>
    </row>
    <row r="841">
      <c r="A841" s="34"/>
      <c r="B841" s="34"/>
      <c r="C841" s="34"/>
      <c r="D841" s="34"/>
      <c r="E841" s="35"/>
    </row>
    <row r="842">
      <c r="A842" s="34"/>
      <c r="B842" s="34"/>
      <c r="C842" s="34"/>
      <c r="D842" s="34"/>
      <c r="E842" s="35"/>
    </row>
    <row r="843">
      <c r="A843" s="34"/>
      <c r="B843" s="34"/>
      <c r="C843" s="34"/>
      <c r="D843" s="34"/>
      <c r="E843" s="35"/>
    </row>
    <row r="844">
      <c r="A844" s="34"/>
      <c r="B844" s="34"/>
      <c r="C844" s="34"/>
      <c r="D844" s="34"/>
      <c r="E844" s="35"/>
    </row>
    <row r="845">
      <c r="A845" s="34"/>
      <c r="B845" s="34"/>
      <c r="C845" s="34"/>
      <c r="D845" s="34"/>
      <c r="E845" s="35"/>
    </row>
    <row r="846">
      <c r="A846" s="34"/>
      <c r="B846" s="34"/>
      <c r="C846" s="34"/>
      <c r="D846" s="34"/>
      <c r="E846" s="35"/>
    </row>
    <row r="847">
      <c r="A847" s="34"/>
      <c r="B847" s="34"/>
      <c r="C847" s="34"/>
      <c r="D847" s="34"/>
      <c r="E847" s="35"/>
    </row>
    <row r="848">
      <c r="A848" s="34"/>
      <c r="B848" s="34"/>
      <c r="C848" s="34"/>
      <c r="D848" s="34"/>
      <c r="E848" s="35"/>
    </row>
    <row r="849">
      <c r="A849" s="34"/>
      <c r="B849" s="34"/>
      <c r="C849" s="34"/>
      <c r="D849" s="34"/>
      <c r="E849" s="35"/>
    </row>
    <row r="850">
      <c r="A850" s="34"/>
      <c r="B850" s="34"/>
      <c r="C850" s="34"/>
      <c r="D850" s="34"/>
      <c r="E850" s="35"/>
    </row>
    <row r="851">
      <c r="A851" s="34"/>
      <c r="B851" s="34"/>
      <c r="C851" s="34"/>
      <c r="D851" s="34"/>
      <c r="E851" s="35"/>
    </row>
    <row r="852">
      <c r="A852" s="34"/>
      <c r="B852" s="34"/>
      <c r="C852" s="34"/>
      <c r="D852" s="34"/>
      <c r="E852" s="35"/>
    </row>
    <row r="853">
      <c r="A853" s="34"/>
      <c r="B853" s="34"/>
      <c r="C853" s="34"/>
      <c r="D853" s="34"/>
      <c r="E853" s="35"/>
    </row>
    <row r="854">
      <c r="A854" s="34"/>
      <c r="B854" s="34"/>
      <c r="C854" s="34"/>
      <c r="D854" s="34"/>
      <c r="E854" s="35"/>
    </row>
    <row r="855">
      <c r="A855" s="34"/>
      <c r="B855" s="34"/>
      <c r="C855" s="34"/>
      <c r="D855" s="34"/>
      <c r="E855" s="35"/>
    </row>
    <row r="856">
      <c r="A856" s="34"/>
      <c r="B856" s="34"/>
      <c r="C856" s="34"/>
      <c r="D856" s="34"/>
      <c r="E856" s="35"/>
    </row>
    <row r="857">
      <c r="A857" s="34"/>
      <c r="B857" s="34"/>
      <c r="C857" s="34"/>
      <c r="D857" s="34"/>
      <c r="E857" s="35"/>
    </row>
    <row r="858">
      <c r="A858" s="34"/>
      <c r="B858" s="34"/>
      <c r="C858" s="34"/>
      <c r="D858" s="34"/>
      <c r="E858" s="35"/>
    </row>
    <row r="859">
      <c r="A859" s="34"/>
      <c r="B859" s="34"/>
      <c r="C859" s="34"/>
      <c r="D859" s="34"/>
      <c r="E859" s="35"/>
    </row>
    <row r="860">
      <c r="A860" s="34"/>
      <c r="B860" s="34"/>
      <c r="C860" s="34"/>
      <c r="D860" s="34"/>
      <c r="E860" s="35"/>
    </row>
    <row r="861">
      <c r="A861" s="34"/>
      <c r="B861" s="34"/>
      <c r="C861" s="34"/>
      <c r="D861" s="34"/>
      <c r="E861" s="35"/>
    </row>
    <row r="862">
      <c r="A862" s="34"/>
      <c r="B862" s="34"/>
      <c r="C862" s="34"/>
      <c r="D862" s="34"/>
      <c r="E862" s="35"/>
    </row>
    <row r="863">
      <c r="A863" s="34"/>
      <c r="B863" s="34"/>
      <c r="C863" s="34"/>
      <c r="D863" s="34"/>
      <c r="E863" s="35"/>
    </row>
    <row r="864">
      <c r="A864" s="34"/>
      <c r="B864" s="34"/>
      <c r="C864" s="34"/>
      <c r="D864" s="34"/>
      <c r="E864" s="35"/>
    </row>
    <row r="865">
      <c r="A865" s="34"/>
      <c r="B865" s="34"/>
      <c r="C865" s="34"/>
      <c r="D865" s="34"/>
      <c r="E865" s="35"/>
    </row>
    <row r="866">
      <c r="A866" s="34"/>
      <c r="B866" s="34"/>
      <c r="C866" s="34"/>
      <c r="D866" s="34"/>
      <c r="E866" s="35"/>
    </row>
    <row r="867">
      <c r="A867" s="34"/>
      <c r="B867" s="34"/>
      <c r="C867" s="34"/>
      <c r="D867" s="34"/>
      <c r="E867" s="35"/>
    </row>
    <row r="868">
      <c r="A868" s="34"/>
      <c r="B868" s="34"/>
      <c r="C868" s="34"/>
      <c r="D868" s="34"/>
      <c r="E868" s="35"/>
    </row>
    <row r="869">
      <c r="A869" s="34"/>
      <c r="B869" s="34"/>
      <c r="C869" s="34"/>
      <c r="D869" s="34"/>
      <c r="E869" s="35"/>
    </row>
    <row r="870">
      <c r="A870" s="34"/>
      <c r="B870" s="34"/>
      <c r="C870" s="34"/>
      <c r="D870" s="34"/>
      <c r="E870" s="35"/>
    </row>
    <row r="871">
      <c r="A871" s="34"/>
      <c r="B871" s="34"/>
      <c r="C871" s="34"/>
      <c r="D871" s="34"/>
      <c r="E871" s="35"/>
    </row>
    <row r="872">
      <c r="A872" s="34"/>
      <c r="B872" s="34"/>
      <c r="C872" s="34"/>
      <c r="D872" s="34"/>
      <c r="E872" s="35"/>
    </row>
    <row r="873">
      <c r="A873" s="34"/>
      <c r="B873" s="34"/>
      <c r="C873" s="34"/>
      <c r="D873" s="34"/>
      <c r="E873" s="35"/>
    </row>
    <row r="874">
      <c r="A874" s="34"/>
      <c r="B874" s="34"/>
      <c r="C874" s="34"/>
      <c r="D874" s="34"/>
      <c r="E874" s="35"/>
    </row>
    <row r="875">
      <c r="A875" s="34"/>
      <c r="B875" s="34"/>
      <c r="C875" s="34"/>
      <c r="D875" s="34"/>
      <c r="E875" s="35"/>
    </row>
    <row r="876">
      <c r="A876" s="34"/>
      <c r="B876" s="34"/>
      <c r="C876" s="34"/>
      <c r="D876" s="34"/>
      <c r="E876" s="35"/>
    </row>
    <row r="877">
      <c r="A877" s="34"/>
      <c r="B877" s="34"/>
      <c r="C877" s="34"/>
      <c r="D877" s="34"/>
      <c r="E877" s="35"/>
    </row>
    <row r="878">
      <c r="A878" s="34"/>
      <c r="B878" s="34"/>
      <c r="C878" s="34"/>
      <c r="D878" s="34"/>
      <c r="E878" s="35"/>
    </row>
    <row r="879">
      <c r="A879" s="34"/>
      <c r="B879" s="34"/>
      <c r="C879" s="34"/>
      <c r="D879" s="34"/>
      <c r="E879" s="35"/>
    </row>
    <row r="880">
      <c r="A880" s="34"/>
      <c r="B880" s="34"/>
      <c r="C880" s="34"/>
      <c r="D880" s="34"/>
      <c r="E880" s="35"/>
    </row>
    <row r="881">
      <c r="A881" s="34"/>
      <c r="B881" s="34"/>
      <c r="C881" s="34"/>
      <c r="D881" s="34"/>
      <c r="E881" s="35"/>
    </row>
    <row r="882">
      <c r="A882" s="34"/>
      <c r="B882" s="34"/>
      <c r="C882" s="34"/>
      <c r="D882" s="34"/>
      <c r="E882" s="35"/>
    </row>
    <row r="883">
      <c r="A883" s="34"/>
      <c r="B883" s="34"/>
      <c r="C883" s="34"/>
      <c r="D883" s="34"/>
      <c r="E883" s="35"/>
    </row>
    <row r="884">
      <c r="A884" s="34"/>
      <c r="B884" s="34"/>
      <c r="C884" s="34"/>
      <c r="D884" s="34"/>
      <c r="E884" s="35"/>
    </row>
    <row r="885">
      <c r="A885" s="34"/>
      <c r="B885" s="34"/>
      <c r="C885" s="34"/>
      <c r="D885" s="34"/>
      <c r="E885" s="35"/>
    </row>
    <row r="886">
      <c r="A886" s="34"/>
      <c r="B886" s="34"/>
      <c r="C886" s="34"/>
      <c r="D886" s="34"/>
      <c r="E886" s="35"/>
    </row>
    <row r="887">
      <c r="A887" s="34"/>
      <c r="B887" s="34"/>
      <c r="C887" s="34"/>
      <c r="D887" s="34"/>
      <c r="E887" s="35"/>
    </row>
    <row r="888">
      <c r="A888" s="34"/>
      <c r="B888" s="34"/>
      <c r="C888" s="34"/>
      <c r="D888" s="34"/>
      <c r="E888" s="35"/>
    </row>
    <row r="889">
      <c r="A889" s="34"/>
      <c r="B889" s="34"/>
      <c r="C889" s="34"/>
      <c r="D889" s="34"/>
      <c r="E889" s="35"/>
    </row>
    <row r="890">
      <c r="A890" s="34"/>
      <c r="B890" s="34"/>
      <c r="C890" s="34"/>
      <c r="D890" s="34"/>
      <c r="E890" s="35"/>
    </row>
    <row r="891">
      <c r="A891" s="34"/>
      <c r="B891" s="34"/>
      <c r="C891" s="34"/>
      <c r="D891" s="34"/>
      <c r="E891" s="35"/>
    </row>
    <row r="892">
      <c r="A892" s="34"/>
      <c r="B892" s="34"/>
      <c r="C892" s="34"/>
      <c r="D892" s="34"/>
      <c r="E892" s="35"/>
    </row>
    <row r="893">
      <c r="A893" s="34"/>
      <c r="B893" s="34"/>
      <c r="C893" s="34"/>
      <c r="D893" s="34"/>
      <c r="E893" s="35"/>
    </row>
    <row r="894">
      <c r="A894" s="34"/>
      <c r="B894" s="34"/>
      <c r="C894" s="34"/>
      <c r="D894" s="34"/>
      <c r="E894" s="35"/>
    </row>
    <row r="895">
      <c r="A895" s="34"/>
      <c r="B895" s="34"/>
      <c r="C895" s="34"/>
      <c r="D895" s="34"/>
      <c r="E895" s="35"/>
    </row>
    <row r="896">
      <c r="A896" s="34"/>
      <c r="B896" s="34"/>
      <c r="C896" s="34"/>
      <c r="D896" s="34"/>
      <c r="E896" s="35"/>
    </row>
    <row r="897">
      <c r="A897" s="34"/>
      <c r="B897" s="34"/>
      <c r="C897" s="34"/>
      <c r="D897" s="34"/>
      <c r="E897" s="35"/>
    </row>
    <row r="898">
      <c r="A898" s="34"/>
      <c r="B898" s="34"/>
      <c r="C898" s="34"/>
      <c r="D898" s="34"/>
      <c r="E898" s="35"/>
    </row>
    <row r="899">
      <c r="A899" s="34"/>
      <c r="B899" s="34"/>
      <c r="C899" s="34"/>
      <c r="D899" s="34"/>
      <c r="E899" s="35"/>
    </row>
    <row r="900">
      <c r="A900" s="34"/>
      <c r="B900" s="34"/>
      <c r="C900" s="34"/>
      <c r="D900" s="34"/>
      <c r="E900" s="35"/>
    </row>
    <row r="901">
      <c r="A901" s="34"/>
      <c r="B901" s="34"/>
      <c r="C901" s="34"/>
      <c r="D901" s="34"/>
      <c r="E901" s="35"/>
    </row>
    <row r="902">
      <c r="A902" s="34"/>
      <c r="B902" s="34"/>
      <c r="C902" s="34"/>
      <c r="D902" s="34"/>
      <c r="E902" s="35"/>
    </row>
    <row r="903">
      <c r="A903" s="34"/>
      <c r="B903" s="34"/>
      <c r="C903" s="34"/>
      <c r="D903" s="34"/>
      <c r="E903" s="35"/>
    </row>
    <row r="904">
      <c r="A904" s="34"/>
      <c r="B904" s="34"/>
      <c r="C904" s="34"/>
      <c r="D904" s="34"/>
      <c r="E904" s="35"/>
    </row>
    <row r="905">
      <c r="A905" s="34"/>
      <c r="B905" s="34"/>
      <c r="C905" s="34"/>
      <c r="D905" s="34"/>
      <c r="E905" s="35"/>
    </row>
    <row r="906">
      <c r="A906" s="34"/>
      <c r="B906" s="34"/>
      <c r="C906" s="34"/>
      <c r="D906" s="34"/>
      <c r="E906" s="35"/>
    </row>
    <row r="907">
      <c r="A907" s="34"/>
      <c r="B907" s="34"/>
      <c r="C907" s="34"/>
      <c r="D907" s="34"/>
      <c r="E907" s="35"/>
    </row>
    <row r="908">
      <c r="A908" s="34"/>
      <c r="B908" s="34"/>
      <c r="C908" s="34"/>
      <c r="D908" s="34"/>
      <c r="E908" s="35"/>
    </row>
    <row r="909">
      <c r="A909" s="34"/>
      <c r="B909" s="34"/>
      <c r="C909" s="34"/>
      <c r="D909" s="34"/>
      <c r="E909" s="35"/>
    </row>
    <row r="910">
      <c r="A910" s="34"/>
      <c r="B910" s="34"/>
      <c r="C910" s="34"/>
      <c r="D910" s="34"/>
      <c r="E910" s="35"/>
    </row>
    <row r="911">
      <c r="A911" s="34"/>
      <c r="B911" s="34"/>
      <c r="C911" s="34"/>
      <c r="D911" s="34"/>
      <c r="E911" s="35"/>
    </row>
    <row r="912">
      <c r="A912" s="34"/>
      <c r="B912" s="34"/>
      <c r="C912" s="34"/>
      <c r="D912" s="34"/>
      <c r="E912" s="35"/>
    </row>
    <row r="913">
      <c r="A913" s="34"/>
      <c r="B913" s="34"/>
      <c r="C913" s="34"/>
      <c r="D913" s="34"/>
      <c r="E913" s="35"/>
    </row>
    <row r="914">
      <c r="A914" s="34"/>
      <c r="B914" s="34"/>
      <c r="C914" s="34"/>
      <c r="D914" s="34"/>
      <c r="E914" s="35"/>
    </row>
    <row r="915">
      <c r="A915" s="34"/>
      <c r="B915" s="34"/>
      <c r="C915" s="34"/>
      <c r="D915" s="34"/>
      <c r="E915" s="35"/>
    </row>
    <row r="916">
      <c r="A916" s="34"/>
      <c r="B916" s="34"/>
      <c r="C916" s="34"/>
      <c r="D916" s="34"/>
      <c r="E916" s="35"/>
    </row>
    <row r="917">
      <c r="A917" s="34"/>
      <c r="B917" s="34"/>
      <c r="C917" s="34"/>
      <c r="D917" s="34"/>
      <c r="E917" s="35"/>
    </row>
    <row r="918">
      <c r="A918" s="34"/>
      <c r="B918" s="34"/>
      <c r="C918" s="34"/>
      <c r="D918" s="34"/>
      <c r="E918" s="35"/>
    </row>
    <row r="919">
      <c r="A919" s="34"/>
      <c r="B919" s="34"/>
      <c r="C919" s="34"/>
      <c r="D919" s="34"/>
      <c r="E919" s="35"/>
    </row>
    <row r="920">
      <c r="A920" s="34"/>
      <c r="B920" s="34"/>
      <c r="C920" s="34"/>
      <c r="D920" s="34"/>
      <c r="E920" s="35"/>
    </row>
    <row r="921">
      <c r="A921" s="34"/>
      <c r="B921" s="34"/>
      <c r="C921" s="34"/>
      <c r="D921" s="34"/>
      <c r="E921" s="35"/>
    </row>
    <row r="922">
      <c r="A922" s="34"/>
      <c r="B922" s="34"/>
      <c r="C922" s="34"/>
      <c r="D922" s="34"/>
      <c r="E922" s="35"/>
    </row>
    <row r="923">
      <c r="A923" s="34"/>
      <c r="B923" s="34"/>
      <c r="C923" s="34"/>
      <c r="D923" s="34"/>
      <c r="E923" s="35"/>
    </row>
    <row r="924">
      <c r="A924" s="34"/>
      <c r="B924" s="34"/>
      <c r="C924" s="34"/>
      <c r="D924" s="34"/>
      <c r="E924" s="35"/>
    </row>
    <row r="925">
      <c r="A925" s="34"/>
      <c r="B925" s="34"/>
      <c r="C925" s="34"/>
      <c r="D925" s="34"/>
      <c r="E925" s="35"/>
    </row>
    <row r="926">
      <c r="A926" s="34"/>
      <c r="B926" s="34"/>
      <c r="C926" s="34"/>
      <c r="D926" s="34"/>
      <c r="E926" s="35"/>
    </row>
    <row r="927">
      <c r="A927" s="34"/>
      <c r="B927" s="34"/>
      <c r="C927" s="34"/>
      <c r="D927" s="34"/>
      <c r="E927" s="35"/>
    </row>
    <row r="928">
      <c r="A928" s="34"/>
      <c r="B928" s="34"/>
      <c r="C928" s="34"/>
      <c r="D928" s="34"/>
      <c r="E928" s="35"/>
    </row>
    <row r="929">
      <c r="A929" s="34"/>
      <c r="B929" s="34"/>
      <c r="C929" s="34"/>
      <c r="D929" s="34"/>
      <c r="E929" s="35"/>
    </row>
    <row r="930">
      <c r="A930" s="34"/>
      <c r="B930" s="34"/>
      <c r="C930" s="34"/>
      <c r="D930" s="34"/>
      <c r="E930" s="35"/>
    </row>
    <row r="931">
      <c r="A931" s="34"/>
      <c r="B931" s="34"/>
      <c r="C931" s="34"/>
      <c r="D931" s="34"/>
      <c r="E931" s="35"/>
    </row>
    <row r="932">
      <c r="A932" s="34"/>
      <c r="B932" s="34"/>
      <c r="C932" s="34"/>
      <c r="D932" s="34"/>
      <c r="E932" s="35"/>
    </row>
    <row r="933">
      <c r="A933" s="34"/>
      <c r="B933" s="34"/>
      <c r="C933" s="34"/>
      <c r="D933" s="34"/>
      <c r="E933" s="35"/>
    </row>
    <row r="934">
      <c r="A934" s="34"/>
      <c r="B934" s="34"/>
      <c r="C934" s="34"/>
      <c r="D934" s="34"/>
      <c r="E934" s="35"/>
    </row>
    <row r="935">
      <c r="A935" s="34"/>
      <c r="B935" s="34"/>
      <c r="C935" s="34"/>
      <c r="D935" s="34"/>
      <c r="E935" s="35"/>
    </row>
    <row r="936">
      <c r="A936" s="34"/>
      <c r="B936" s="34"/>
      <c r="C936" s="34"/>
      <c r="D936" s="34"/>
      <c r="E936" s="35"/>
    </row>
    <row r="937">
      <c r="A937" s="34"/>
      <c r="B937" s="34"/>
      <c r="C937" s="34"/>
      <c r="D937" s="34"/>
      <c r="E937" s="35"/>
    </row>
    <row r="938">
      <c r="A938" s="34"/>
      <c r="B938" s="34"/>
      <c r="C938" s="34"/>
      <c r="D938" s="34"/>
      <c r="E938" s="35"/>
    </row>
    <row r="939">
      <c r="A939" s="34"/>
      <c r="B939" s="34"/>
      <c r="C939" s="34"/>
      <c r="D939" s="34"/>
      <c r="E939" s="35"/>
    </row>
    <row r="940">
      <c r="A940" s="34"/>
      <c r="B940" s="34"/>
      <c r="C940" s="34"/>
      <c r="D940" s="34"/>
      <c r="E940" s="35"/>
    </row>
    <row r="941">
      <c r="A941" s="34"/>
      <c r="B941" s="34"/>
      <c r="C941" s="34"/>
      <c r="D941" s="34"/>
      <c r="E941" s="35"/>
    </row>
    <row r="942">
      <c r="A942" s="34"/>
      <c r="B942" s="34"/>
      <c r="C942" s="34"/>
      <c r="D942" s="34"/>
      <c r="E942" s="35"/>
    </row>
    <row r="943">
      <c r="A943" s="34"/>
      <c r="B943" s="34"/>
      <c r="C943" s="34"/>
      <c r="D943" s="34"/>
      <c r="E943" s="35"/>
    </row>
    <row r="944">
      <c r="A944" s="34"/>
      <c r="B944" s="34"/>
      <c r="C944" s="34"/>
      <c r="D944" s="34"/>
      <c r="E944" s="35"/>
    </row>
    <row r="945">
      <c r="A945" s="34"/>
      <c r="B945" s="34"/>
      <c r="C945" s="34"/>
      <c r="D945" s="34"/>
      <c r="E945" s="35"/>
    </row>
    <row r="946">
      <c r="A946" s="34"/>
      <c r="B946" s="34"/>
      <c r="C946" s="34"/>
      <c r="D946" s="34"/>
      <c r="E946" s="35"/>
    </row>
    <row r="947">
      <c r="A947" s="34"/>
      <c r="B947" s="34"/>
      <c r="C947" s="34"/>
      <c r="D947" s="34"/>
      <c r="E947" s="35"/>
    </row>
    <row r="948">
      <c r="A948" s="34"/>
      <c r="B948" s="34"/>
      <c r="C948" s="34"/>
      <c r="D948" s="34"/>
      <c r="E948" s="35"/>
    </row>
    <row r="949">
      <c r="A949" s="34"/>
      <c r="B949" s="34"/>
      <c r="C949" s="34"/>
      <c r="D949" s="34"/>
      <c r="E949" s="35"/>
    </row>
    <row r="950">
      <c r="A950" s="34"/>
      <c r="B950" s="34"/>
      <c r="C950" s="34"/>
      <c r="D950" s="34"/>
      <c r="E950" s="35"/>
    </row>
    <row r="951">
      <c r="A951" s="34"/>
      <c r="B951" s="34"/>
      <c r="C951" s="34"/>
      <c r="D951" s="34"/>
      <c r="E951" s="35"/>
    </row>
    <row r="952">
      <c r="A952" s="34"/>
      <c r="B952" s="34"/>
      <c r="C952" s="34"/>
      <c r="D952" s="34"/>
      <c r="E952" s="35"/>
    </row>
    <row r="953">
      <c r="A953" s="34"/>
      <c r="B953" s="34"/>
      <c r="C953" s="34"/>
      <c r="D953" s="34"/>
      <c r="E953" s="35"/>
    </row>
    <row r="954">
      <c r="A954" s="34"/>
      <c r="B954" s="34"/>
      <c r="C954" s="34"/>
      <c r="D954" s="34"/>
      <c r="E954" s="35"/>
    </row>
    <row r="955">
      <c r="A955" s="34"/>
      <c r="B955" s="34"/>
      <c r="C955" s="34"/>
      <c r="D955" s="34"/>
      <c r="E955" s="35"/>
    </row>
    <row r="956">
      <c r="A956" s="34"/>
      <c r="B956" s="34"/>
      <c r="C956" s="34"/>
      <c r="D956" s="34"/>
      <c r="E956" s="35"/>
    </row>
    <row r="957">
      <c r="A957" s="34"/>
      <c r="B957" s="34"/>
      <c r="C957" s="34"/>
      <c r="D957" s="34"/>
      <c r="E957" s="35"/>
    </row>
    <row r="958">
      <c r="A958" s="34"/>
      <c r="B958" s="34"/>
      <c r="C958" s="34"/>
      <c r="D958" s="34"/>
      <c r="E958" s="35"/>
    </row>
    <row r="959">
      <c r="A959" s="34"/>
      <c r="B959" s="34"/>
      <c r="C959" s="34"/>
      <c r="D959" s="34"/>
      <c r="E959" s="35"/>
    </row>
    <row r="960">
      <c r="A960" s="34"/>
      <c r="B960" s="34"/>
      <c r="C960" s="34"/>
      <c r="D960" s="34"/>
      <c r="E960" s="35"/>
    </row>
    <row r="961">
      <c r="A961" s="34"/>
      <c r="B961" s="34"/>
      <c r="C961" s="34"/>
      <c r="D961" s="34"/>
      <c r="E961" s="35"/>
    </row>
    <row r="962">
      <c r="A962" s="34"/>
      <c r="B962" s="34"/>
      <c r="C962" s="34"/>
      <c r="D962" s="34"/>
      <c r="E962" s="35"/>
    </row>
    <row r="963">
      <c r="A963" s="34"/>
      <c r="B963" s="34"/>
      <c r="C963" s="34"/>
      <c r="D963" s="34"/>
      <c r="E963" s="35"/>
    </row>
    <row r="964">
      <c r="A964" s="34"/>
      <c r="B964" s="34"/>
      <c r="C964" s="34"/>
      <c r="D964" s="34"/>
      <c r="E964" s="35"/>
    </row>
    <row r="965">
      <c r="A965" s="34"/>
      <c r="B965" s="34"/>
      <c r="C965" s="34"/>
      <c r="D965" s="34"/>
      <c r="E965" s="35"/>
    </row>
    <row r="966">
      <c r="A966" s="34"/>
      <c r="B966" s="34"/>
      <c r="C966" s="34"/>
      <c r="D966" s="34"/>
      <c r="E966" s="35"/>
    </row>
    <row r="967">
      <c r="A967" s="34"/>
      <c r="B967" s="34"/>
      <c r="C967" s="34"/>
      <c r="D967" s="34"/>
      <c r="E967" s="35"/>
    </row>
    <row r="968">
      <c r="A968" s="34"/>
      <c r="B968" s="34"/>
      <c r="C968" s="34"/>
      <c r="D968" s="34"/>
      <c r="E968" s="35"/>
    </row>
    <row r="969">
      <c r="A969" s="34"/>
      <c r="B969" s="34"/>
      <c r="C969" s="34"/>
      <c r="D969" s="34"/>
      <c r="E969" s="35"/>
    </row>
    <row r="970">
      <c r="A970" s="34"/>
      <c r="B970" s="34"/>
      <c r="C970" s="34"/>
      <c r="D970" s="34"/>
      <c r="E970" s="35"/>
    </row>
    <row r="971">
      <c r="A971" s="34"/>
      <c r="B971" s="34"/>
      <c r="C971" s="34"/>
      <c r="D971" s="34"/>
      <c r="E971" s="35"/>
    </row>
    <row r="972">
      <c r="A972" s="34"/>
      <c r="B972" s="34"/>
      <c r="C972" s="34"/>
      <c r="D972" s="34"/>
      <c r="E972" s="35"/>
    </row>
    <row r="973">
      <c r="A973" s="34"/>
      <c r="B973" s="34"/>
      <c r="C973" s="34"/>
      <c r="D973" s="34"/>
      <c r="E973" s="35"/>
    </row>
    <row r="974">
      <c r="A974" s="34"/>
      <c r="B974" s="34"/>
      <c r="C974" s="34"/>
      <c r="D974" s="34"/>
      <c r="E974" s="35"/>
    </row>
    <row r="975">
      <c r="A975" s="34"/>
      <c r="B975" s="34"/>
      <c r="C975" s="34"/>
      <c r="D975" s="34"/>
      <c r="E975" s="35"/>
    </row>
    <row r="976">
      <c r="A976" s="34"/>
      <c r="B976" s="34"/>
      <c r="C976" s="34"/>
      <c r="D976" s="34"/>
      <c r="E976" s="35"/>
    </row>
    <row r="977">
      <c r="A977" s="34"/>
      <c r="B977" s="34"/>
      <c r="C977" s="34"/>
      <c r="D977" s="34"/>
      <c r="E977" s="35"/>
    </row>
    <row r="978">
      <c r="A978" s="34"/>
      <c r="B978" s="34"/>
      <c r="C978" s="34"/>
      <c r="D978" s="34"/>
      <c r="E978" s="35"/>
    </row>
    <row r="979">
      <c r="A979" s="34"/>
      <c r="B979" s="34"/>
      <c r="C979" s="34"/>
      <c r="D979" s="34"/>
      <c r="E979" s="35"/>
    </row>
    <row r="980">
      <c r="A980" s="34"/>
      <c r="B980" s="34"/>
      <c r="C980" s="34"/>
      <c r="D980" s="34"/>
      <c r="E980" s="35"/>
    </row>
    <row r="981">
      <c r="A981" s="34"/>
      <c r="B981" s="34"/>
      <c r="C981" s="34"/>
      <c r="D981" s="34"/>
      <c r="E981" s="35"/>
    </row>
    <row r="982">
      <c r="A982" s="34"/>
      <c r="B982" s="34"/>
      <c r="C982" s="34"/>
      <c r="D982" s="34"/>
      <c r="E982" s="35"/>
    </row>
    <row r="983">
      <c r="A983" s="34"/>
      <c r="B983" s="34"/>
      <c r="C983" s="34"/>
      <c r="D983" s="34"/>
      <c r="E983" s="35"/>
    </row>
    <row r="984">
      <c r="A984" s="34"/>
      <c r="B984" s="34"/>
      <c r="C984" s="34"/>
      <c r="D984" s="34"/>
      <c r="E984" s="35"/>
    </row>
    <row r="985">
      <c r="A985" s="34"/>
      <c r="B985" s="34"/>
      <c r="C985" s="34"/>
      <c r="D985" s="34"/>
      <c r="E985" s="35"/>
    </row>
    <row r="986">
      <c r="A986" s="34"/>
      <c r="B986" s="34"/>
      <c r="C986" s="34"/>
      <c r="D986" s="34"/>
      <c r="E986" s="35"/>
    </row>
    <row r="987">
      <c r="A987" s="34"/>
      <c r="B987" s="34"/>
      <c r="C987" s="34"/>
      <c r="D987" s="34"/>
      <c r="E987" s="35"/>
    </row>
    <row r="988">
      <c r="A988" s="34"/>
      <c r="B988" s="34"/>
      <c r="C988" s="34"/>
      <c r="D988" s="34"/>
      <c r="E988" s="35"/>
    </row>
    <row r="989">
      <c r="A989" s="34"/>
      <c r="B989" s="34"/>
      <c r="C989" s="34"/>
      <c r="D989" s="34"/>
      <c r="E989" s="35"/>
    </row>
    <row r="990">
      <c r="A990" s="34"/>
      <c r="B990" s="34"/>
      <c r="C990" s="34"/>
      <c r="D990" s="34"/>
      <c r="E990" s="35"/>
    </row>
    <row r="991">
      <c r="A991" s="34"/>
      <c r="B991" s="34"/>
      <c r="C991" s="34"/>
      <c r="D991" s="34"/>
      <c r="E991" s="35"/>
    </row>
    <row r="992">
      <c r="A992" s="34"/>
      <c r="B992" s="34"/>
      <c r="C992" s="34"/>
      <c r="D992" s="34"/>
      <c r="E992" s="35"/>
    </row>
    <row r="993">
      <c r="A993" s="34"/>
      <c r="B993" s="34"/>
      <c r="C993" s="34"/>
      <c r="D993" s="34"/>
      <c r="E993" s="35"/>
    </row>
    <row r="994">
      <c r="A994" s="34"/>
      <c r="B994" s="34"/>
      <c r="C994" s="34"/>
      <c r="D994" s="34"/>
      <c r="E994" s="35"/>
    </row>
    <row r="995">
      <c r="A995" s="34"/>
      <c r="B995" s="34"/>
      <c r="C995" s="34"/>
      <c r="D995" s="34"/>
      <c r="E995" s="35"/>
    </row>
    <row r="996">
      <c r="A996" s="34"/>
      <c r="B996" s="34"/>
      <c r="C996" s="34"/>
      <c r="D996" s="34"/>
      <c r="E996" s="35"/>
    </row>
    <row r="997">
      <c r="A997" s="34"/>
      <c r="B997" s="34"/>
      <c r="C997" s="34"/>
      <c r="D997" s="34"/>
      <c r="E997" s="35"/>
    </row>
    <row r="998">
      <c r="A998" s="34"/>
      <c r="B998" s="34"/>
      <c r="C998" s="34"/>
      <c r="D998" s="34"/>
      <c r="E998" s="35"/>
    </row>
    <row r="999">
      <c r="A999" s="34"/>
      <c r="B999" s="34"/>
      <c r="C999" s="34"/>
      <c r="D999" s="34"/>
      <c r="E999" s="35"/>
    </row>
    <row r="1000">
      <c r="A1000" s="34"/>
      <c r="B1000" s="34"/>
      <c r="C1000" s="34"/>
      <c r="D1000" s="34"/>
      <c r="E1000" s="35"/>
    </row>
    <row r="1001">
      <c r="A1001" s="34"/>
      <c r="B1001" s="34"/>
      <c r="C1001" s="34"/>
      <c r="D1001" s="34"/>
      <c r="E1001" s="35"/>
    </row>
    <row r="1002">
      <c r="A1002" s="34"/>
      <c r="B1002" s="34"/>
      <c r="C1002" s="34"/>
      <c r="D1002" s="34"/>
      <c r="E1002" s="35"/>
    </row>
    <row r="1003">
      <c r="A1003" s="34"/>
      <c r="B1003" s="34"/>
      <c r="C1003" s="34"/>
      <c r="D1003" s="34"/>
      <c r="E1003" s="35"/>
    </row>
    <row r="1004">
      <c r="A1004" s="34"/>
      <c r="B1004" s="34"/>
      <c r="C1004" s="34"/>
      <c r="D1004" s="34"/>
      <c r="E1004" s="35"/>
    </row>
    <row r="1005">
      <c r="A1005" s="34"/>
      <c r="B1005" s="34"/>
      <c r="C1005" s="34"/>
      <c r="D1005" s="34"/>
      <c r="E1005" s="35"/>
    </row>
    <row r="1006">
      <c r="A1006" s="34"/>
      <c r="B1006" s="34"/>
      <c r="C1006" s="34"/>
      <c r="D1006" s="34"/>
      <c r="E1006" s="35"/>
    </row>
    <row r="1007">
      <c r="A1007" s="34"/>
      <c r="B1007" s="34"/>
      <c r="C1007" s="34"/>
      <c r="D1007" s="34"/>
      <c r="E1007" s="35"/>
    </row>
    <row r="1008">
      <c r="A1008" s="34"/>
      <c r="B1008" s="34"/>
      <c r="C1008" s="34"/>
      <c r="D1008" s="34"/>
      <c r="E1008" s="35"/>
    </row>
    <row r="1009">
      <c r="A1009" s="34"/>
      <c r="B1009" s="34"/>
      <c r="C1009" s="34"/>
      <c r="D1009" s="34"/>
      <c r="E1009" s="35"/>
    </row>
    <row r="1010">
      <c r="A1010" s="34"/>
      <c r="B1010" s="34"/>
      <c r="C1010" s="34"/>
      <c r="D1010" s="34"/>
      <c r="E1010" s="35"/>
    </row>
    <row r="1011">
      <c r="A1011" s="34"/>
      <c r="B1011" s="34"/>
      <c r="C1011" s="34"/>
      <c r="D1011" s="34"/>
      <c r="E1011" s="35"/>
    </row>
    <row r="1012">
      <c r="A1012" s="34"/>
      <c r="B1012" s="34"/>
      <c r="C1012" s="34"/>
      <c r="D1012" s="34"/>
      <c r="E1012" s="35"/>
    </row>
    <row r="1013">
      <c r="A1013" s="34"/>
      <c r="B1013" s="34"/>
      <c r="C1013" s="34"/>
      <c r="D1013" s="34"/>
      <c r="E1013" s="35"/>
    </row>
    <row r="1014">
      <c r="A1014" s="34"/>
      <c r="B1014" s="34"/>
      <c r="C1014" s="34"/>
      <c r="D1014" s="34"/>
      <c r="E1014" s="35"/>
    </row>
    <row r="1015">
      <c r="A1015" s="34"/>
      <c r="B1015" s="34"/>
      <c r="C1015" s="34"/>
      <c r="D1015" s="34"/>
      <c r="E1015" s="35"/>
    </row>
    <row r="1016">
      <c r="A1016" s="34"/>
      <c r="B1016" s="34"/>
      <c r="C1016" s="34"/>
      <c r="D1016" s="34"/>
      <c r="E1016" s="35"/>
    </row>
    <row r="1017">
      <c r="A1017" s="34"/>
      <c r="B1017" s="34"/>
      <c r="C1017" s="34"/>
      <c r="D1017" s="34"/>
      <c r="E1017" s="35"/>
    </row>
    <row r="1018">
      <c r="A1018" s="34"/>
      <c r="B1018" s="34"/>
      <c r="C1018" s="34"/>
      <c r="D1018" s="34"/>
      <c r="E1018" s="35"/>
    </row>
    <row r="1019">
      <c r="A1019" s="34"/>
      <c r="B1019" s="34"/>
      <c r="C1019" s="34"/>
      <c r="D1019" s="34"/>
      <c r="E1019" s="35"/>
    </row>
    <row r="1020">
      <c r="A1020" s="34"/>
      <c r="B1020" s="34"/>
      <c r="C1020" s="34"/>
      <c r="D1020" s="34"/>
      <c r="E1020" s="35"/>
    </row>
    <row r="1021">
      <c r="A1021" s="34"/>
      <c r="B1021" s="34"/>
      <c r="C1021" s="34"/>
      <c r="D1021" s="34"/>
      <c r="E1021" s="35"/>
    </row>
    <row r="1022">
      <c r="A1022" s="34"/>
      <c r="B1022" s="34"/>
      <c r="C1022" s="34"/>
      <c r="D1022" s="34"/>
      <c r="E1022" s="35"/>
    </row>
    <row r="1023">
      <c r="A1023" s="34"/>
      <c r="B1023" s="34"/>
      <c r="C1023" s="34"/>
      <c r="D1023" s="34"/>
      <c r="E1023" s="35"/>
    </row>
    <row r="1024">
      <c r="A1024" s="34"/>
      <c r="B1024" s="34"/>
      <c r="C1024" s="34"/>
      <c r="D1024" s="34"/>
      <c r="E1024" s="35"/>
    </row>
    <row r="1025">
      <c r="A1025" s="34"/>
      <c r="B1025" s="34"/>
      <c r="C1025" s="34"/>
      <c r="D1025" s="34"/>
      <c r="E1025" s="35"/>
    </row>
    <row r="1026">
      <c r="A1026" s="34"/>
      <c r="B1026" s="34"/>
      <c r="C1026" s="34"/>
      <c r="D1026" s="34"/>
      <c r="E1026" s="35"/>
    </row>
    <row r="1027">
      <c r="A1027" s="34"/>
      <c r="B1027" s="34"/>
      <c r="C1027" s="34"/>
      <c r="D1027" s="34"/>
      <c r="E1027" s="35"/>
    </row>
    <row r="1028">
      <c r="A1028" s="34"/>
      <c r="B1028" s="34"/>
      <c r="C1028" s="34"/>
      <c r="D1028" s="34"/>
      <c r="E1028" s="35"/>
    </row>
    <row r="1029">
      <c r="A1029" s="34"/>
      <c r="B1029" s="34"/>
      <c r="C1029" s="34"/>
      <c r="D1029" s="34"/>
      <c r="E1029" s="35"/>
    </row>
    <row r="1030">
      <c r="A1030" s="34"/>
      <c r="B1030" s="34"/>
      <c r="C1030" s="34"/>
      <c r="D1030" s="34"/>
      <c r="E1030" s="35"/>
    </row>
    <row r="1031">
      <c r="A1031" s="34"/>
      <c r="B1031" s="34"/>
      <c r="C1031" s="34"/>
      <c r="D1031" s="34"/>
      <c r="E1031" s="35"/>
    </row>
    <row r="1032">
      <c r="A1032" s="34"/>
      <c r="B1032" s="34"/>
      <c r="C1032" s="34"/>
      <c r="D1032" s="34"/>
      <c r="E1032" s="35"/>
    </row>
    <row r="1033">
      <c r="A1033" s="34"/>
      <c r="B1033" s="34"/>
      <c r="C1033" s="34"/>
      <c r="D1033" s="34"/>
      <c r="E1033" s="35"/>
    </row>
    <row r="1034">
      <c r="A1034" s="34"/>
      <c r="B1034" s="34"/>
      <c r="C1034" s="34"/>
      <c r="D1034" s="34"/>
      <c r="E1034" s="35"/>
    </row>
    <row r="1035">
      <c r="A1035" s="34"/>
      <c r="B1035" s="34"/>
      <c r="C1035" s="34"/>
      <c r="D1035" s="34"/>
      <c r="E1035" s="35"/>
    </row>
    <row r="1036">
      <c r="A1036" s="34"/>
      <c r="B1036" s="34"/>
      <c r="C1036" s="34"/>
      <c r="D1036" s="34"/>
      <c r="E1036" s="35"/>
    </row>
    <row r="1037">
      <c r="A1037" s="34"/>
      <c r="B1037" s="34"/>
      <c r="C1037" s="34"/>
      <c r="D1037" s="34"/>
      <c r="E1037" s="35"/>
    </row>
    <row r="1038">
      <c r="A1038" s="34"/>
      <c r="B1038" s="34"/>
      <c r="C1038" s="34"/>
      <c r="D1038" s="34"/>
      <c r="E1038" s="35"/>
    </row>
    <row r="1039">
      <c r="A1039" s="34"/>
      <c r="B1039" s="34"/>
      <c r="C1039" s="34"/>
      <c r="D1039" s="34"/>
      <c r="E1039" s="35"/>
    </row>
    <row r="1040">
      <c r="A1040" s="34"/>
      <c r="B1040" s="34"/>
      <c r="C1040" s="34"/>
      <c r="D1040" s="34"/>
      <c r="E1040" s="35"/>
    </row>
    <row r="1041">
      <c r="A1041" s="34"/>
      <c r="B1041" s="34"/>
      <c r="C1041" s="34"/>
      <c r="D1041" s="34"/>
      <c r="E1041" s="35"/>
    </row>
    <row r="1042">
      <c r="A1042" s="34"/>
      <c r="B1042" s="34"/>
      <c r="C1042" s="34"/>
      <c r="D1042" s="34"/>
      <c r="E1042" s="35"/>
    </row>
    <row r="1043">
      <c r="A1043" s="34"/>
      <c r="B1043" s="34"/>
      <c r="C1043" s="34"/>
      <c r="D1043" s="34"/>
      <c r="E1043" s="35"/>
    </row>
    <row r="1044">
      <c r="A1044" s="34"/>
      <c r="B1044" s="34"/>
      <c r="C1044" s="34"/>
      <c r="D1044" s="34"/>
      <c r="E1044" s="35"/>
    </row>
    <row r="1045">
      <c r="A1045" s="34"/>
      <c r="B1045" s="34"/>
      <c r="C1045" s="34"/>
      <c r="D1045" s="34"/>
      <c r="E1045" s="35"/>
    </row>
    <row r="1046">
      <c r="A1046" s="34"/>
      <c r="B1046" s="34"/>
      <c r="C1046" s="34"/>
      <c r="D1046" s="34"/>
      <c r="E1046" s="35"/>
    </row>
    <row r="1047">
      <c r="A1047" s="34"/>
      <c r="B1047" s="34"/>
      <c r="C1047" s="34"/>
      <c r="D1047" s="34"/>
      <c r="E1047" s="35"/>
    </row>
    <row r="1048">
      <c r="A1048" s="34"/>
      <c r="B1048" s="34"/>
      <c r="C1048" s="34"/>
      <c r="D1048" s="34"/>
      <c r="E1048" s="35"/>
    </row>
    <row r="1049">
      <c r="A1049" s="34"/>
      <c r="B1049" s="34"/>
      <c r="C1049" s="34"/>
      <c r="D1049" s="34"/>
      <c r="E1049" s="35"/>
    </row>
    <row r="1050">
      <c r="A1050" s="34"/>
      <c r="B1050" s="34"/>
      <c r="C1050" s="34"/>
      <c r="D1050" s="34"/>
      <c r="E1050" s="35"/>
    </row>
    <row r="1051">
      <c r="A1051" s="34"/>
      <c r="B1051" s="34"/>
      <c r="C1051" s="34"/>
      <c r="D1051" s="34"/>
      <c r="E1051" s="35"/>
    </row>
    <row r="1052">
      <c r="A1052" s="34"/>
      <c r="B1052" s="34"/>
      <c r="C1052" s="34"/>
      <c r="D1052" s="34"/>
      <c r="E1052" s="35"/>
    </row>
    <row r="1053">
      <c r="A1053" s="34"/>
      <c r="B1053" s="34"/>
      <c r="C1053" s="34"/>
      <c r="D1053" s="34"/>
      <c r="E1053" s="35"/>
    </row>
    <row r="1054">
      <c r="A1054" s="34"/>
      <c r="B1054" s="34"/>
      <c r="C1054" s="34"/>
      <c r="D1054" s="34"/>
      <c r="E1054" s="35"/>
    </row>
    <row r="1055">
      <c r="A1055" s="34"/>
      <c r="B1055" s="34"/>
      <c r="C1055" s="34"/>
      <c r="D1055" s="34"/>
      <c r="E1055" s="35"/>
    </row>
    <row r="1056">
      <c r="A1056" s="34"/>
      <c r="B1056" s="34"/>
      <c r="C1056" s="34"/>
      <c r="D1056" s="34"/>
      <c r="E1056" s="35"/>
    </row>
    <row r="1057">
      <c r="A1057" s="34"/>
      <c r="B1057" s="34"/>
      <c r="C1057" s="34"/>
      <c r="D1057" s="34"/>
      <c r="E1057" s="35"/>
    </row>
    <row r="1058">
      <c r="A1058" s="34"/>
      <c r="B1058" s="34"/>
      <c r="C1058" s="34"/>
      <c r="D1058" s="34"/>
      <c r="E1058" s="35"/>
    </row>
    <row r="1059">
      <c r="A1059" s="34"/>
      <c r="B1059" s="34"/>
      <c r="C1059" s="34"/>
      <c r="D1059" s="34"/>
      <c r="E1059" s="35"/>
    </row>
    <row r="1060">
      <c r="A1060" s="34"/>
      <c r="B1060" s="34"/>
      <c r="C1060" s="34"/>
      <c r="D1060" s="34"/>
      <c r="E1060" s="35"/>
    </row>
    <row r="1061">
      <c r="A1061" s="34"/>
      <c r="B1061" s="34"/>
      <c r="C1061" s="34"/>
      <c r="D1061" s="34"/>
      <c r="E1061" s="35"/>
    </row>
    <row r="1062">
      <c r="A1062" s="34"/>
      <c r="B1062" s="34"/>
      <c r="C1062" s="34"/>
      <c r="D1062" s="34"/>
      <c r="E1062" s="35"/>
    </row>
    <row r="1063">
      <c r="A1063" s="34"/>
      <c r="B1063" s="34"/>
      <c r="C1063" s="34"/>
      <c r="D1063" s="34"/>
      <c r="E1063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5" max="5" width="13.38"/>
  </cols>
  <sheetData>
    <row r="1">
      <c r="A1" s="34" t="str">
        <f>IFERROR(__xludf.DUMMYFUNCTION("IMPORTRANGE(""https://docs.google.com/spreadsheets/d/1uL7u7wi-N6XMNaiiEn8EgL1KwO9D93ItEOaOTxWgeIE/edit?gid=0#gid=0"", ""Inbound!A:E"")"),"Nama Barang")</f>
        <v>Nama Barang</v>
      </c>
      <c r="B1" s="34" t="str">
        <f>IFERROR(__xludf.DUMMYFUNCTION("""COMPUTED_VALUE"""),"Quantity")</f>
        <v>Quantity</v>
      </c>
      <c r="C1" s="34" t="str">
        <f>IFERROR(__xludf.DUMMYFUNCTION("""COMPUTED_VALUE"""),"Sudah Diterima?")</f>
        <v>Sudah Diterima?</v>
      </c>
      <c r="D1" s="34" t="str">
        <f>IFERROR(__xludf.DUMMYFUNCTION("""COMPUTED_VALUE"""),"Tanggal terima")</f>
        <v>Tanggal terima</v>
      </c>
      <c r="E1" s="34" t="str">
        <f>IFERROR(__xludf.DUMMYFUNCTION("""COMPUTED_VALUE"""),"Nama")</f>
        <v>Nama</v>
      </c>
    </row>
    <row r="2">
      <c r="A2" s="34" t="str">
        <f>IFERROR(__xludf.DUMMYFUNCTION("""COMPUTED_VALUE"""),"LAMPU HANNOCHS 50W")</f>
        <v>LAMPU HANNOCHS 50W</v>
      </c>
      <c r="B2" s="34">
        <f>IFERROR(__xludf.DUMMYFUNCTION("""COMPUTED_VALUE"""),20.0)</f>
        <v>20</v>
      </c>
      <c r="C2" s="34">
        <f>IFERROR(__xludf.DUMMYFUNCTION("""COMPUTED_VALUE"""),20.0)</f>
        <v>20</v>
      </c>
      <c r="D2" s="36">
        <f>IFERROR(__xludf.DUMMYFUNCTION("""COMPUTED_VALUE"""),46132.0)</f>
        <v>46132</v>
      </c>
      <c r="E2" s="34" t="str">
        <f>IFERROR(__xludf.DUMMYFUNCTION("""COMPUTED_VALUE"""),"GA HERIYANTO")</f>
        <v>GA HERIYANTO</v>
      </c>
    </row>
    <row r="3">
      <c r="A3" s="34" t="str">
        <f>IFERROR(__xludf.DUMMYFUNCTION("""COMPUTED_VALUE"""),"KERTAS HVS A4")</f>
        <v>KERTAS HVS A4</v>
      </c>
      <c r="B3" s="34">
        <f>IFERROR(__xludf.DUMMYFUNCTION("""COMPUTED_VALUE"""),10.0)</f>
        <v>10</v>
      </c>
      <c r="C3" s="34">
        <f>IFERROR(__xludf.DUMMYFUNCTION("""COMPUTED_VALUE"""),10.0)</f>
        <v>10</v>
      </c>
      <c r="D3" s="36">
        <f>IFERROR(__xludf.DUMMYFUNCTION("""COMPUTED_VALUE"""),46140.0)</f>
        <v>46140</v>
      </c>
      <c r="E3" s="34" t="str">
        <f>IFERROR(__xludf.DUMMYFUNCTION("""COMPUTED_VALUE"""),"GA HERIYANTO")</f>
        <v>GA HERIYANTO</v>
      </c>
    </row>
    <row r="4">
      <c r="A4" s="34" t="str">
        <f>IFERROR(__xludf.DUMMYFUNCTION("""COMPUTED_VALUE"""),"DOUBLE TAPE PUTIH")</f>
        <v>DOUBLE TAPE PUTIH</v>
      </c>
      <c r="B4" s="34">
        <f>IFERROR(__xludf.DUMMYFUNCTION("""COMPUTED_VALUE"""),16.0)</f>
        <v>16</v>
      </c>
      <c r="C4" s="34">
        <f>IFERROR(__xludf.DUMMYFUNCTION("""COMPUTED_VALUE"""),16.0)</f>
        <v>16</v>
      </c>
      <c r="D4" s="36">
        <f>IFERROR(__xludf.DUMMYFUNCTION("""COMPUTED_VALUE"""),46142.0)</f>
        <v>46142</v>
      </c>
      <c r="E4" s="34" t="str">
        <f>IFERROR(__xludf.DUMMYFUNCTION("""COMPUTED_VALUE"""),"GA HERIYANTO")</f>
        <v>GA HERIYANTO</v>
      </c>
    </row>
    <row r="5">
      <c r="A5" s="34" t="str">
        <f>IFERROR(__xludf.DUMMYFUNCTION("""COMPUTED_VALUE"""),"PIRING MAKAN")</f>
        <v>PIRING MAKAN</v>
      </c>
      <c r="B5" s="34">
        <f>IFERROR(__xludf.DUMMYFUNCTION("""COMPUTED_VALUE"""),100.0)</f>
        <v>100</v>
      </c>
      <c r="C5" s="34">
        <f>IFERROR(__xludf.DUMMYFUNCTION("""COMPUTED_VALUE"""),100.0)</f>
        <v>100</v>
      </c>
      <c r="D5" s="36">
        <f>IFERROR(__xludf.DUMMYFUNCTION("""COMPUTED_VALUE"""),46142.0)</f>
        <v>46142</v>
      </c>
      <c r="E5" s="34" t="str">
        <f>IFERROR(__xludf.DUMMYFUNCTION("""COMPUTED_VALUE"""),"GA HERIYANTO")</f>
        <v>GA HERIYANTO</v>
      </c>
    </row>
    <row r="6">
      <c r="A6" s="34" t="str">
        <f>IFERROR(__xludf.DUMMYFUNCTION("""COMPUTED_VALUE"""),"SENDOK MAKAN")</f>
        <v>SENDOK MAKAN</v>
      </c>
      <c r="B6" s="34">
        <f>IFERROR(__xludf.DUMMYFUNCTION("""COMPUTED_VALUE"""),85.0)</f>
        <v>85</v>
      </c>
      <c r="C6" s="34">
        <f>IFERROR(__xludf.DUMMYFUNCTION("""COMPUTED_VALUE"""),85.0)</f>
        <v>85</v>
      </c>
      <c r="D6" s="36">
        <f>IFERROR(__xludf.DUMMYFUNCTION("""COMPUTED_VALUE"""),46142.0)</f>
        <v>46142</v>
      </c>
      <c r="E6" s="34" t="str">
        <f>IFERROR(__xludf.DUMMYFUNCTION("""COMPUTED_VALUE"""),"GA HERIYANTO")</f>
        <v>GA HERIYANTO</v>
      </c>
    </row>
    <row r="7">
      <c r="A7" s="34" t="str">
        <f>IFERROR(__xludf.DUMMYFUNCTION("""COMPUTED_VALUE"""),"GARPU")</f>
        <v>GARPU</v>
      </c>
      <c r="B7" s="34">
        <f>IFERROR(__xludf.DUMMYFUNCTION("""COMPUTED_VALUE"""),14.0)</f>
        <v>14</v>
      </c>
      <c r="C7" s="34">
        <f>IFERROR(__xludf.DUMMYFUNCTION("""COMPUTED_VALUE"""),14.0)</f>
        <v>14</v>
      </c>
      <c r="D7" s="36">
        <f>IFERROR(__xludf.DUMMYFUNCTION("""COMPUTED_VALUE"""),46142.0)</f>
        <v>46142</v>
      </c>
      <c r="E7" s="34" t="str">
        <f>IFERROR(__xludf.DUMMYFUNCTION("""COMPUTED_VALUE"""),"GA HERIYANTO")</f>
        <v>GA HERIYANTO</v>
      </c>
    </row>
    <row r="8">
      <c r="A8" s="34" t="str">
        <f>IFERROR(__xludf.DUMMYFUNCTION("""COMPUTED_VALUE"""),"GELAS STAINLES")</f>
        <v>GELAS STAINLES</v>
      </c>
      <c r="B8" s="34">
        <f>IFERROR(__xludf.DUMMYFUNCTION("""COMPUTED_VALUE"""),64.0)</f>
        <v>64</v>
      </c>
      <c r="C8" s="34">
        <f>IFERROR(__xludf.DUMMYFUNCTION("""COMPUTED_VALUE"""),64.0)</f>
        <v>64</v>
      </c>
      <c r="D8" s="36">
        <f>IFERROR(__xludf.DUMMYFUNCTION("""COMPUTED_VALUE"""),46142.0)</f>
        <v>46142</v>
      </c>
      <c r="E8" s="34" t="str">
        <f>IFERROR(__xludf.DUMMYFUNCTION("""COMPUTED_VALUE"""),"GA HERIYANTO")</f>
        <v>GA HERIYANTO</v>
      </c>
    </row>
    <row r="9">
      <c r="A9" s="34" t="str">
        <f>IFERROR(__xludf.DUMMYFUNCTION("""COMPUTED_VALUE"""),"KERTAS HVS A4")</f>
        <v>KERTAS HVS A4</v>
      </c>
      <c r="B9" s="34">
        <f>IFERROR(__xludf.DUMMYFUNCTION("""COMPUTED_VALUE"""),25.0)</f>
        <v>25</v>
      </c>
      <c r="C9" s="34">
        <f>IFERROR(__xludf.DUMMYFUNCTION("""COMPUTED_VALUE"""),25.0)</f>
        <v>25</v>
      </c>
      <c r="D9" s="36">
        <f>IFERROR(__xludf.DUMMYFUNCTION("""COMPUTED_VALUE"""),46144.0)</f>
        <v>46144</v>
      </c>
      <c r="E9" s="34" t="str">
        <f>IFERROR(__xludf.DUMMYFUNCTION("""COMPUTED_VALUE"""),"GA HERIYANTO")</f>
        <v>GA HERIYANTO</v>
      </c>
    </row>
    <row r="10">
      <c r="A10" s="34" t="str">
        <f>IFERROR(__xludf.DUMMYFUNCTION("""COMPUTED_VALUE"""),"MASKER")</f>
        <v>MASKER</v>
      </c>
      <c r="B10" s="34">
        <f>IFERROR(__xludf.DUMMYFUNCTION("""COMPUTED_VALUE"""),50.0)</f>
        <v>50</v>
      </c>
      <c r="C10" s="34">
        <f>IFERROR(__xludf.DUMMYFUNCTION("""COMPUTED_VALUE"""),50.0)</f>
        <v>50</v>
      </c>
      <c r="D10" s="36">
        <f>IFERROR(__xludf.DUMMYFUNCTION("""COMPUTED_VALUE"""),46147.0)</f>
        <v>46147</v>
      </c>
      <c r="E10" s="34" t="str">
        <f>IFERROR(__xludf.DUMMYFUNCTION("""COMPUTED_VALUE"""),"GA HERIYANTO")</f>
        <v>GA HERIYANTO</v>
      </c>
    </row>
    <row r="11">
      <c r="A11" s="34" t="str">
        <f>IFERROR(__xludf.DUMMYFUNCTION("""COMPUTED_VALUE"""),"LAMPU HANNOCHS 50W")</f>
        <v>LAMPU HANNOCHS 50W</v>
      </c>
      <c r="B11" s="34">
        <f>IFERROR(__xludf.DUMMYFUNCTION("""COMPUTED_VALUE"""),12.0)</f>
        <v>12</v>
      </c>
      <c r="C11" s="34">
        <f>IFERROR(__xludf.DUMMYFUNCTION("""COMPUTED_VALUE"""),12.0)</f>
        <v>12</v>
      </c>
      <c r="D11" s="36">
        <f>IFERROR(__xludf.DUMMYFUNCTION("""COMPUTED_VALUE"""),46153.0)</f>
        <v>46153</v>
      </c>
      <c r="E11" s="34" t="str">
        <f>IFERROR(__xludf.DUMMYFUNCTION("""COMPUTED_VALUE"""),"SHERLY")</f>
        <v>SHERLY</v>
      </c>
    </row>
    <row r="12">
      <c r="A12" s="34" t="str">
        <f>IFERROR(__xludf.DUMMYFUNCTION("""COMPUTED_VALUE"""),"SEMPROTAN AIR")</f>
        <v>SEMPROTAN AIR</v>
      </c>
      <c r="B12" s="34">
        <f>IFERROR(__xludf.DUMMYFUNCTION("""COMPUTED_VALUE"""),3.0)</f>
        <v>3</v>
      </c>
      <c r="C12" s="34">
        <f>IFERROR(__xludf.DUMMYFUNCTION("""COMPUTED_VALUE"""),3.0)</f>
        <v>3</v>
      </c>
      <c r="D12" s="36">
        <f>IFERROR(__xludf.DUMMYFUNCTION("""COMPUTED_VALUE"""),46153.0)</f>
        <v>46153</v>
      </c>
      <c r="E12" s="34" t="str">
        <f>IFERROR(__xludf.DUMMYFUNCTION("""COMPUTED_VALUE"""),"SHERLY")</f>
        <v>SHERLY</v>
      </c>
    </row>
    <row r="13">
      <c r="A13" s="34" t="str">
        <f>IFERROR(__xludf.DUMMYFUNCTION("""COMPUTED_VALUE"""),"TEH BOTOL")</f>
        <v>TEH BOTOL</v>
      </c>
      <c r="B13" s="34">
        <f>IFERROR(__xludf.DUMMYFUNCTION("""COMPUTED_VALUE"""),360.0)</f>
        <v>360</v>
      </c>
      <c r="C13" s="34">
        <f>IFERROR(__xludf.DUMMYFUNCTION("""COMPUTED_VALUE"""),360.0)</f>
        <v>360</v>
      </c>
      <c r="D13" s="36">
        <f>IFERROR(__xludf.DUMMYFUNCTION("""COMPUTED_VALUE"""),46153.0)</f>
        <v>46153</v>
      </c>
      <c r="E13" s="34" t="str">
        <f>IFERROR(__xludf.DUMMYFUNCTION("""COMPUTED_VALUE"""),"SHERLY")</f>
        <v>SHERLY</v>
      </c>
    </row>
    <row r="14">
      <c r="A14" s="34" t="str">
        <f>IFERROR(__xludf.DUMMYFUNCTION("""COMPUTED_VALUE"""),"AIR MINERAL")</f>
        <v>AIR MINERAL</v>
      </c>
      <c r="B14" s="34">
        <f>IFERROR(__xludf.DUMMYFUNCTION("""COMPUTED_VALUE"""),480.0)</f>
        <v>480</v>
      </c>
      <c r="C14" s="34">
        <f>IFERROR(__xludf.DUMMYFUNCTION("""COMPUTED_VALUE"""),480.0)</f>
        <v>480</v>
      </c>
      <c r="D14" s="36">
        <f>IFERROR(__xludf.DUMMYFUNCTION("""COMPUTED_VALUE"""),46153.0)</f>
        <v>46153</v>
      </c>
      <c r="E14" s="34" t="str">
        <f>IFERROR(__xludf.DUMMYFUNCTION("""COMPUTED_VALUE"""),"SHERLY")</f>
        <v>SHERLY</v>
      </c>
    </row>
    <row r="15">
      <c r="A15" s="34" t="str">
        <f>IFERROR(__xludf.DUMMYFUNCTION("""COMPUTED_VALUE"""),"SUSU ")</f>
        <v>SUSU </v>
      </c>
      <c r="B15" s="34">
        <f>IFERROR(__xludf.DUMMYFUNCTION("""COMPUTED_VALUE"""),864.0)</f>
        <v>864</v>
      </c>
      <c r="C15" s="34">
        <f>IFERROR(__xludf.DUMMYFUNCTION("""COMPUTED_VALUE"""),864.0)</f>
        <v>864</v>
      </c>
      <c r="D15" s="36">
        <f>IFERROR(__xludf.DUMMYFUNCTION("""COMPUTED_VALUE"""),46153.0)</f>
        <v>46153</v>
      </c>
      <c r="E15" s="34" t="str">
        <f>IFERROR(__xludf.DUMMYFUNCTION("""COMPUTED_VALUE"""),"SHERLY")</f>
        <v>SHERLY</v>
      </c>
    </row>
    <row r="16">
      <c r="A16" s="34" t="str">
        <f>IFERROR(__xludf.DUMMYFUNCTION("""COMPUTED_VALUE"""),"BANTEX ")</f>
        <v>BANTEX </v>
      </c>
      <c r="B16" s="34">
        <f>IFERROR(__xludf.DUMMYFUNCTION("""COMPUTED_VALUE"""),24.0)</f>
        <v>24</v>
      </c>
      <c r="C16" s="34">
        <f>IFERROR(__xludf.DUMMYFUNCTION("""COMPUTED_VALUE"""),24.0)</f>
        <v>24</v>
      </c>
      <c r="D16" s="36">
        <f>IFERROR(__xludf.DUMMYFUNCTION("""COMPUTED_VALUE"""),46153.0)</f>
        <v>46153</v>
      </c>
      <c r="E16" s="34" t="str">
        <f>IFERROR(__xludf.DUMMYFUNCTION("""COMPUTED_VALUE"""),"SHERLY")</f>
        <v>SHERLY</v>
      </c>
    </row>
    <row r="17">
      <c r="A17" s="34" t="str">
        <f>IFERROR(__xludf.DUMMYFUNCTION("""COMPUTED_VALUE"""),"BOX FILE BINDEX")</f>
        <v>BOX FILE BINDEX</v>
      </c>
      <c r="B17" s="34">
        <f>IFERROR(__xludf.DUMMYFUNCTION("""COMPUTED_VALUE"""),9.0)</f>
        <v>9</v>
      </c>
      <c r="C17" s="34">
        <f>IFERROR(__xludf.DUMMYFUNCTION("""COMPUTED_VALUE"""),9.0)</f>
        <v>9</v>
      </c>
      <c r="D17" s="36">
        <f>IFERROR(__xludf.DUMMYFUNCTION("""COMPUTED_VALUE"""),46153.0)</f>
        <v>46153</v>
      </c>
      <c r="E17" s="34" t="str">
        <f>IFERROR(__xludf.DUMMYFUNCTION("""COMPUTED_VALUE"""),"SHERLY")</f>
        <v>SHERLY</v>
      </c>
    </row>
    <row r="18">
      <c r="A18" s="34" t="str">
        <f>IFERROR(__xludf.DUMMYFUNCTION("""COMPUTED_VALUE"""),"ALKOHOL 70 % 100ML")</f>
        <v>ALKOHOL 70 % 100ML</v>
      </c>
      <c r="B18" s="34">
        <f>IFERROR(__xludf.DUMMYFUNCTION("""COMPUTED_VALUE"""),12.0)</f>
        <v>12</v>
      </c>
      <c r="C18" s="34">
        <f>IFERROR(__xludf.DUMMYFUNCTION("""COMPUTED_VALUE"""),12.0)</f>
        <v>12</v>
      </c>
      <c r="D18" s="36">
        <f>IFERROR(__xludf.DUMMYFUNCTION("""COMPUTED_VALUE"""),46153.0)</f>
        <v>46153</v>
      </c>
      <c r="E18" s="34" t="str">
        <f>IFERROR(__xludf.DUMMYFUNCTION("""COMPUTED_VALUE"""),"SHERLY")</f>
        <v>SHERLY</v>
      </c>
    </row>
    <row r="19">
      <c r="A19" s="34" t="str">
        <f>IFERROR(__xludf.DUMMYFUNCTION("""COMPUTED_VALUE"""),"MINYAK KAYU PUTIH")</f>
        <v>MINYAK KAYU PUTIH</v>
      </c>
      <c r="B19" s="34">
        <f>IFERROR(__xludf.DUMMYFUNCTION("""COMPUTED_VALUE"""),12.0)</f>
        <v>12</v>
      </c>
      <c r="C19" s="34">
        <f>IFERROR(__xludf.DUMMYFUNCTION("""COMPUTED_VALUE"""),12.0)</f>
        <v>12</v>
      </c>
      <c r="D19" s="36">
        <f>IFERROR(__xludf.DUMMYFUNCTION("""COMPUTED_VALUE"""),46153.0)</f>
        <v>46153</v>
      </c>
      <c r="E19" s="34" t="str">
        <f>IFERROR(__xludf.DUMMYFUNCTION("""COMPUTED_VALUE"""),"SHERLY")</f>
        <v>SHERLY</v>
      </c>
    </row>
    <row r="20">
      <c r="A20" s="34" t="str">
        <f>IFERROR(__xludf.DUMMYFUNCTION("""COMPUTED_VALUE"""),"SALONPAS")</f>
        <v>SALONPAS</v>
      </c>
      <c r="B20" s="34">
        <f>IFERROR(__xludf.DUMMYFUNCTION("""COMPUTED_VALUE"""),20.0)</f>
        <v>20</v>
      </c>
      <c r="C20" s="34">
        <f>IFERROR(__xludf.DUMMYFUNCTION("""COMPUTED_VALUE"""),20.0)</f>
        <v>20</v>
      </c>
      <c r="D20" s="36">
        <f>IFERROR(__xludf.DUMMYFUNCTION("""COMPUTED_VALUE"""),46153.0)</f>
        <v>46153</v>
      </c>
      <c r="E20" s="34" t="str">
        <f>IFERROR(__xludf.DUMMYFUNCTION("""COMPUTED_VALUE"""),"SHERLY")</f>
        <v>SHERLY</v>
      </c>
    </row>
    <row r="21">
      <c r="A21" s="34" t="str">
        <f>IFERROR(__xludf.DUMMYFUNCTION("""COMPUTED_VALUE"""),"INSTO")</f>
        <v>INSTO</v>
      </c>
      <c r="B21" s="34">
        <f>IFERROR(__xludf.DUMMYFUNCTION("""COMPUTED_VALUE"""),7.0)</f>
        <v>7</v>
      </c>
      <c r="C21" s="34">
        <f>IFERROR(__xludf.DUMMYFUNCTION("""COMPUTED_VALUE"""),7.0)</f>
        <v>7</v>
      </c>
      <c r="D21" s="36">
        <f>IFERROR(__xludf.DUMMYFUNCTION("""COMPUTED_VALUE"""),46153.0)</f>
        <v>46153</v>
      </c>
      <c r="E21" s="34" t="str">
        <f>IFERROR(__xludf.DUMMYFUNCTION("""COMPUTED_VALUE"""),"SHERLY")</f>
        <v>SHERLY</v>
      </c>
    </row>
    <row r="22">
      <c r="A22" s="34" t="str">
        <f>IFERROR(__xludf.DUMMYFUNCTION("""COMPUTED_VALUE"""),"SABUN CUCI TANGAN")</f>
        <v>SABUN CUCI TANGAN</v>
      </c>
      <c r="B22" s="34">
        <f>IFERROR(__xludf.DUMMYFUNCTION("""COMPUTED_VALUE"""),5.0)</f>
        <v>5</v>
      </c>
      <c r="C22" s="34">
        <f>IFERROR(__xludf.DUMMYFUNCTION("""COMPUTED_VALUE"""),5.0)</f>
        <v>5</v>
      </c>
      <c r="D22" s="36">
        <f>IFERROR(__xludf.DUMMYFUNCTION("""COMPUTED_VALUE"""),46153.0)</f>
        <v>46153</v>
      </c>
      <c r="E22" s="34" t="str">
        <f>IFERROR(__xludf.DUMMYFUNCTION("""COMPUTED_VALUE"""),"FAREL")</f>
        <v>FAREL</v>
      </c>
    </row>
    <row r="23">
      <c r="A23" s="34" t="str">
        <f>IFERROR(__xludf.DUMMYFUNCTION("""COMPUTED_VALUE"""),"SABUN LANTAI ")</f>
        <v>SABUN LANTAI </v>
      </c>
      <c r="B23" s="34">
        <f>IFERROR(__xludf.DUMMYFUNCTION("""COMPUTED_VALUE"""),5.0)</f>
        <v>5</v>
      </c>
      <c r="C23" s="34">
        <f>IFERROR(__xludf.DUMMYFUNCTION("""COMPUTED_VALUE"""),5.0)</f>
        <v>5</v>
      </c>
      <c r="D23" s="36">
        <f>IFERROR(__xludf.DUMMYFUNCTION("""COMPUTED_VALUE"""),46153.0)</f>
        <v>46153</v>
      </c>
      <c r="E23" s="34" t="str">
        <f>IFERROR(__xludf.DUMMYFUNCTION("""COMPUTED_VALUE"""),"FAREL")</f>
        <v>FAREL</v>
      </c>
    </row>
    <row r="24">
      <c r="A24" s="34" t="str">
        <f>IFERROR(__xludf.DUMMYFUNCTION("""COMPUTED_VALUE"""),"SABUN CUCI PIRING ")</f>
        <v>SABUN CUCI PIRING </v>
      </c>
      <c r="B24" s="34">
        <f>IFERROR(__xludf.DUMMYFUNCTION("""COMPUTED_VALUE"""),5.0)</f>
        <v>5</v>
      </c>
      <c r="C24" s="34">
        <f>IFERROR(__xludf.DUMMYFUNCTION("""COMPUTED_VALUE"""),5.0)</f>
        <v>5</v>
      </c>
      <c r="D24" s="36">
        <f>IFERROR(__xludf.DUMMYFUNCTION("""COMPUTED_VALUE"""),46153.0)</f>
        <v>46153</v>
      </c>
      <c r="E24" s="34" t="str">
        <f>IFERROR(__xludf.DUMMYFUNCTION("""COMPUTED_VALUE"""),"FAREL")</f>
        <v>FAREL</v>
      </c>
    </row>
    <row r="25">
      <c r="A25" s="34" t="str">
        <f>IFERROR(__xludf.DUMMYFUNCTION("""COMPUTED_VALUE"""),"KERTAS HVS A4")</f>
        <v>KERTAS HVS A4</v>
      </c>
      <c r="B25" s="34">
        <f>IFERROR(__xludf.DUMMYFUNCTION("""COMPUTED_VALUE"""),15.0)</f>
        <v>15</v>
      </c>
      <c r="C25" s="34">
        <f>IFERROR(__xludf.DUMMYFUNCTION("""COMPUTED_VALUE"""),15.0)</f>
        <v>15</v>
      </c>
      <c r="D25" s="36">
        <f>IFERROR(__xludf.DUMMYFUNCTION("""COMPUTED_VALUE"""),46154.0)</f>
        <v>46154</v>
      </c>
      <c r="E25" s="34" t="str">
        <f>IFERROR(__xludf.DUMMYFUNCTION("""COMPUTED_VALUE"""),"IENDAH")</f>
        <v>IENDAH</v>
      </c>
    </row>
    <row r="26">
      <c r="A26" s="34" t="str">
        <f>IFERROR(__xludf.DUMMYFUNCTION("""COMPUTED_VALUE"""),"LAMPU HANNOCHS 50W")</f>
        <v>LAMPU HANNOCHS 50W</v>
      </c>
      <c r="B26" s="34">
        <f>IFERROR(__xludf.DUMMYFUNCTION("""COMPUTED_VALUE"""),8.0)</f>
        <v>8</v>
      </c>
      <c r="C26" s="34">
        <f>IFERROR(__xludf.DUMMYFUNCTION("""COMPUTED_VALUE"""),8.0)</f>
        <v>8</v>
      </c>
      <c r="D26" s="36">
        <f>IFERROR(__xludf.DUMMYFUNCTION("""COMPUTED_VALUE"""),46154.0)</f>
        <v>46154</v>
      </c>
      <c r="E26" s="34" t="str">
        <f>IFERROR(__xludf.DUMMYFUNCTION("""COMPUTED_VALUE"""),"SHERLY")</f>
        <v>SHERLY</v>
      </c>
    </row>
    <row r="27">
      <c r="A27" s="34" t="str">
        <f>IFERROR(__xludf.DUMMYFUNCTION("""COMPUTED_VALUE"""),"LAMPU PHILIPS LEDTUBE 18 W")</f>
        <v>LAMPU PHILIPS LEDTUBE 18 W</v>
      </c>
      <c r="B27" s="34">
        <f>IFERROR(__xludf.DUMMYFUNCTION("""COMPUTED_VALUE"""),60.0)</f>
        <v>60</v>
      </c>
      <c r="C27" s="34">
        <f>IFERROR(__xludf.DUMMYFUNCTION("""COMPUTED_VALUE"""),60.0)</f>
        <v>60</v>
      </c>
      <c r="D27" s="36">
        <f>IFERROR(__xludf.DUMMYFUNCTION("""COMPUTED_VALUE"""),46158.0)</f>
        <v>46158</v>
      </c>
      <c r="E27" s="34" t="str">
        <f>IFERROR(__xludf.DUMMYFUNCTION("""COMPUTED_VALUE"""),"SHERLY")</f>
        <v>SHERLY</v>
      </c>
    </row>
    <row r="28">
      <c r="A28" s="34" t="str">
        <f>IFERROR(__xludf.DUMMYFUNCTION("""COMPUTED_VALUE"""),"GELAS STAINLES")</f>
        <v>GELAS STAINLES</v>
      </c>
      <c r="B28" s="34">
        <f>IFERROR(__xludf.DUMMYFUNCTION("""COMPUTED_VALUE"""),81.0)</f>
        <v>81</v>
      </c>
      <c r="C28" s="34">
        <f>IFERROR(__xludf.DUMMYFUNCTION("""COMPUTED_VALUE"""),81.0)</f>
        <v>81</v>
      </c>
      <c r="D28" s="36">
        <f>IFERROR(__xludf.DUMMYFUNCTION("""COMPUTED_VALUE"""),46159.0)</f>
        <v>46159</v>
      </c>
      <c r="E28" s="34" t="str">
        <f>IFERROR(__xludf.DUMMYFUNCTION("""COMPUTED_VALUE"""),"SHERLY")</f>
        <v>SHERLY</v>
      </c>
    </row>
    <row r="29">
      <c r="A29" s="34" t="str">
        <f>IFERROR(__xludf.DUMMYFUNCTION("""COMPUTED_VALUE"""),"PAPAN JALAN")</f>
        <v>PAPAN JALAN</v>
      </c>
      <c r="B29" s="34">
        <f>IFERROR(__xludf.DUMMYFUNCTION("""COMPUTED_VALUE"""),20.0)</f>
        <v>20</v>
      </c>
      <c r="C29" s="34">
        <f>IFERROR(__xludf.DUMMYFUNCTION("""COMPUTED_VALUE"""),20.0)</f>
        <v>20</v>
      </c>
      <c r="D29" s="36">
        <f>IFERROR(__xludf.DUMMYFUNCTION("""COMPUTED_VALUE"""),46162.0)</f>
        <v>46162</v>
      </c>
      <c r="E29" s="34" t="str">
        <f>IFERROR(__xludf.DUMMYFUNCTION("""COMPUTED_VALUE"""),"IENDAH")</f>
        <v>IENDAH</v>
      </c>
    </row>
    <row r="30">
      <c r="A30" s="34" t="str">
        <f>IFERROR(__xludf.DUMMYFUNCTION("""COMPUTED_VALUE"""),"METERAN")</f>
        <v>METERAN</v>
      </c>
      <c r="B30" s="34">
        <f>IFERROR(__xludf.DUMMYFUNCTION("""COMPUTED_VALUE"""),1.0)</f>
        <v>1</v>
      </c>
      <c r="C30" s="34">
        <f>IFERROR(__xludf.DUMMYFUNCTION("""COMPUTED_VALUE"""),1.0)</f>
        <v>1</v>
      </c>
      <c r="D30" s="36">
        <f>IFERROR(__xludf.DUMMYFUNCTION("""COMPUTED_VALUE"""),46162.0)</f>
        <v>46162</v>
      </c>
      <c r="E30" s="34" t="str">
        <f>IFERROR(__xludf.DUMMYFUNCTION("""COMPUTED_VALUE"""),"IENDAH")</f>
        <v>IENDAH</v>
      </c>
    </row>
    <row r="31">
      <c r="A31" s="34" t="str">
        <f>IFERROR(__xludf.DUMMYFUNCTION("""COMPUTED_VALUE"""),"SENDOK SEMEN")</f>
        <v>SENDOK SEMEN</v>
      </c>
      <c r="B31" s="34">
        <f>IFERROR(__xludf.DUMMYFUNCTION("""COMPUTED_VALUE"""),1.0)</f>
        <v>1</v>
      </c>
      <c r="C31" s="34">
        <f>IFERROR(__xludf.DUMMYFUNCTION("""COMPUTED_VALUE"""),1.0)</f>
        <v>1</v>
      </c>
      <c r="D31" s="36">
        <f>IFERROR(__xludf.DUMMYFUNCTION("""COMPUTED_VALUE"""),46162.0)</f>
        <v>46162</v>
      </c>
      <c r="E31" s="34" t="str">
        <f>IFERROR(__xludf.DUMMYFUNCTION("""COMPUTED_VALUE"""),"IENDAH")</f>
        <v>IENDAH</v>
      </c>
    </row>
    <row r="32">
      <c r="A32" s="34" t="str">
        <f>IFERROR(__xludf.DUMMYFUNCTION("""COMPUTED_VALUE"""),"SEMPROTAN AIR")</f>
        <v>SEMPROTAN AIR</v>
      </c>
      <c r="B32" s="34">
        <f>IFERROR(__xludf.DUMMYFUNCTION("""COMPUTED_VALUE"""),5.0)</f>
        <v>5</v>
      </c>
      <c r="C32" s="34">
        <f>IFERROR(__xludf.DUMMYFUNCTION("""COMPUTED_VALUE"""),5.0)</f>
        <v>5</v>
      </c>
      <c r="D32" s="36">
        <f>IFERROR(__xludf.DUMMYFUNCTION("""COMPUTED_VALUE"""),46164.0)</f>
        <v>46164</v>
      </c>
      <c r="E32" s="34" t="str">
        <f>IFERROR(__xludf.DUMMYFUNCTION("""COMPUTED_VALUE"""),"SHERLY")</f>
        <v>SHERLY</v>
      </c>
    </row>
    <row r="33">
      <c r="A33" s="34" t="str">
        <f>IFERROR(__xludf.DUMMYFUNCTION("""COMPUTED_VALUE"""),"SAPU LOBBY")</f>
        <v>SAPU LOBBY</v>
      </c>
      <c r="B33" s="34">
        <f>IFERROR(__xludf.DUMMYFUNCTION("""COMPUTED_VALUE"""),5.0)</f>
        <v>5</v>
      </c>
      <c r="C33" s="34">
        <f>IFERROR(__xludf.DUMMYFUNCTION("""COMPUTED_VALUE"""),5.0)</f>
        <v>5</v>
      </c>
      <c r="D33" s="36">
        <f>IFERROR(__xludf.DUMMYFUNCTION("""COMPUTED_VALUE"""),46164.0)</f>
        <v>46164</v>
      </c>
      <c r="E33" s="34" t="str">
        <f>IFERROR(__xludf.DUMMYFUNCTION("""COMPUTED_VALUE"""),"SHERLY")</f>
        <v>SHERLY</v>
      </c>
    </row>
    <row r="34">
      <c r="A34" s="34" t="str">
        <f>IFERROR(__xludf.DUMMYFUNCTION("""COMPUTED_VALUE"""),"PENGKI")</f>
        <v>PENGKI</v>
      </c>
      <c r="B34" s="34">
        <f>IFERROR(__xludf.DUMMYFUNCTION("""COMPUTED_VALUE"""),5.0)</f>
        <v>5</v>
      </c>
      <c r="C34" s="34">
        <f>IFERROR(__xludf.DUMMYFUNCTION("""COMPUTED_VALUE"""),5.0)</f>
        <v>5</v>
      </c>
      <c r="D34" s="36">
        <f>IFERROR(__xludf.DUMMYFUNCTION("""COMPUTED_VALUE"""),46164.0)</f>
        <v>46164</v>
      </c>
      <c r="E34" s="34" t="str">
        <f>IFERROR(__xludf.DUMMYFUNCTION("""COMPUTED_VALUE"""),"SHERLY")</f>
        <v>SHERLY</v>
      </c>
    </row>
    <row r="35">
      <c r="A35" s="34" t="str">
        <f>IFERROR(__xludf.DUMMYFUNCTION("""COMPUTED_VALUE"""),"PEL - PELAN")</f>
        <v>PEL - PELAN</v>
      </c>
      <c r="B35" s="34">
        <f>IFERROR(__xludf.DUMMYFUNCTION("""COMPUTED_VALUE"""),7.0)</f>
        <v>7</v>
      </c>
      <c r="C35" s="34">
        <f>IFERROR(__xludf.DUMMYFUNCTION("""COMPUTED_VALUE"""),7.0)</f>
        <v>7</v>
      </c>
      <c r="D35" s="36">
        <f>IFERROR(__xludf.DUMMYFUNCTION("""COMPUTED_VALUE"""),46164.0)</f>
        <v>46164</v>
      </c>
      <c r="E35" s="34" t="str">
        <f>IFERROR(__xludf.DUMMYFUNCTION("""COMPUTED_VALUE"""),"SHERLY")</f>
        <v>SHERLY</v>
      </c>
    </row>
    <row r="36">
      <c r="A36" s="34" t="str">
        <f>IFERROR(__xludf.DUMMYFUNCTION("""COMPUTED_VALUE"""),"TINTA PRINTER L3201 HITAM")</f>
        <v>TINTA PRINTER L3201 HITAM</v>
      </c>
      <c r="B36" s="34">
        <f>IFERROR(__xludf.DUMMYFUNCTION("""COMPUTED_VALUE"""),20.0)</f>
        <v>20</v>
      </c>
      <c r="C36" s="34">
        <f>IFERROR(__xludf.DUMMYFUNCTION("""COMPUTED_VALUE"""),20.0)</f>
        <v>20</v>
      </c>
      <c r="D36" s="36">
        <f>IFERROR(__xludf.DUMMYFUNCTION("""COMPUTED_VALUE"""),46164.0)</f>
        <v>46164</v>
      </c>
      <c r="E36" s="34" t="str">
        <f>IFERROR(__xludf.DUMMYFUNCTION("""COMPUTED_VALUE"""),"SHERLY")</f>
        <v>SHERLY</v>
      </c>
    </row>
    <row r="37">
      <c r="A37" s="34" t="str">
        <f>IFERROR(__xludf.DUMMYFUNCTION("""COMPUTED_VALUE"""),"SURAT LEMBURAN ")</f>
        <v>SURAT LEMBURAN </v>
      </c>
      <c r="B37" s="34">
        <f>IFERROR(__xludf.DUMMYFUNCTION("""COMPUTED_VALUE"""),15.0)</f>
        <v>15</v>
      </c>
      <c r="C37" s="34"/>
      <c r="D37" s="36">
        <f>IFERROR(__xludf.DUMMYFUNCTION("""COMPUTED_VALUE"""),46164.0)</f>
        <v>46164</v>
      </c>
      <c r="E37" s="34" t="str">
        <f>IFERROR(__xludf.DUMMYFUNCTION("""COMPUTED_VALUE"""),"HARIYANTO")</f>
        <v>HARIYANTO</v>
      </c>
    </row>
    <row r="38">
      <c r="A38" s="34" t="str">
        <f>IFERROR(__xludf.DUMMYFUNCTION("""COMPUTED_VALUE"""),"MASKER")</f>
        <v>MASKER</v>
      </c>
      <c r="B38" s="34">
        <f>IFERROR(__xludf.DUMMYFUNCTION("""COMPUTED_VALUE"""),100.0)</f>
        <v>100</v>
      </c>
      <c r="C38" s="34">
        <f>IFERROR(__xludf.DUMMYFUNCTION("""COMPUTED_VALUE"""),100.0)</f>
        <v>100</v>
      </c>
      <c r="D38" s="36">
        <f>IFERROR(__xludf.DUMMYFUNCTION("""COMPUTED_VALUE"""),46167.0)</f>
        <v>46167</v>
      </c>
      <c r="E38" s="34" t="str">
        <f>IFERROR(__xludf.DUMMYFUNCTION("""COMPUTED_VALUE"""),"ERWIN")</f>
        <v>ERWIN</v>
      </c>
    </row>
    <row r="39">
      <c r="A39" s="34" t="str">
        <f>IFERROR(__xludf.DUMMYFUNCTION("""COMPUTED_VALUE"""),"AIR MINERAL")</f>
        <v>AIR MINERAL</v>
      </c>
      <c r="B39" s="34">
        <f>IFERROR(__xludf.DUMMYFUNCTION("""COMPUTED_VALUE"""),216.0)</f>
        <v>216</v>
      </c>
      <c r="C39" s="34">
        <f>IFERROR(__xludf.DUMMYFUNCTION("""COMPUTED_VALUE"""),216.0)</f>
        <v>216</v>
      </c>
      <c r="D39" s="36">
        <f>IFERROR(__xludf.DUMMYFUNCTION("""COMPUTED_VALUE"""),46170.0)</f>
        <v>46170</v>
      </c>
      <c r="E39" s="34" t="str">
        <f>IFERROR(__xludf.DUMMYFUNCTION("""COMPUTED_VALUE"""),"PANTRY")</f>
        <v>PANTRY</v>
      </c>
    </row>
    <row r="40">
      <c r="A40" s="34" t="str">
        <f>IFERROR(__xludf.DUMMYFUNCTION("""COMPUTED_VALUE"""),"TINTA PRINTER L3201 BIRU")</f>
        <v>TINTA PRINTER L3201 BIRU</v>
      </c>
      <c r="B40" s="34">
        <f>IFERROR(__xludf.DUMMYFUNCTION("""COMPUTED_VALUE"""),15.0)</f>
        <v>15</v>
      </c>
      <c r="C40" s="34"/>
      <c r="D40" s="36">
        <f>IFERROR(__xludf.DUMMYFUNCTION("""COMPUTED_VALUE"""),46178.0)</f>
        <v>46178</v>
      </c>
      <c r="E40" s="34" t="str">
        <f>IFERROR(__xludf.DUMMYFUNCTION("""COMPUTED_VALUE"""),"IENDAH")</f>
        <v>IENDAH</v>
      </c>
    </row>
    <row r="41">
      <c r="A41" s="34" t="str">
        <f>IFERROR(__xludf.DUMMYFUNCTION("""COMPUTED_VALUE"""),"TINTA PRINTER L3201 PINK")</f>
        <v>TINTA PRINTER L3201 PINK</v>
      </c>
      <c r="B41" s="34">
        <f>IFERROR(__xludf.DUMMYFUNCTION("""COMPUTED_VALUE"""),15.0)</f>
        <v>15</v>
      </c>
      <c r="C41" s="34"/>
      <c r="D41" s="36">
        <f>IFERROR(__xludf.DUMMYFUNCTION("""COMPUTED_VALUE"""),46178.0)</f>
        <v>46178</v>
      </c>
      <c r="E41" s="34" t="str">
        <f>IFERROR(__xludf.DUMMYFUNCTION("""COMPUTED_VALUE"""),"IENDAH")</f>
        <v>IENDAH</v>
      </c>
    </row>
    <row r="42">
      <c r="A42" s="34" t="str">
        <f>IFERROR(__xludf.DUMMYFUNCTION("""COMPUTED_VALUE"""),"TINTA PRINTER L3201 KUNING")</f>
        <v>TINTA PRINTER L3201 KUNING</v>
      </c>
      <c r="B42" s="34">
        <f>IFERROR(__xludf.DUMMYFUNCTION("""COMPUTED_VALUE"""),15.0)</f>
        <v>15</v>
      </c>
      <c r="C42" s="34"/>
      <c r="D42" s="36">
        <f>IFERROR(__xludf.DUMMYFUNCTION("""COMPUTED_VALUE"""),46178.0)</f>
        <v>46178</v>
      </c>
      <c r="E42" s="34" t="str">
        <f>IFERROR(__xludf.DUMMYFUNCTION("""COMPUTED_VALUE"""),"IENDAH")</f>
        <v>IENDAH</v>
      </c>
    </row>
    <row r="43">
      <c r="A43" s="34" t="str">
        <f>IFERROR(__xludf.DUMMYFUNCTION("""COMPUTED_VALUE"""),"TINTA PRINTER L3201 HITAM")</f>
        <v>TINTA PRINTER L3201 HITAM</v>
      </c>
      <c r="B43" s="34">
        <f>IFERROR(__xludf.DUMMYFUNCTION("""COMPUTED_VALUE"""),15.0)</f>
        <v>15</v>
      </c>
      <c r="C43" s="34"/>
      <c r="D43" s="36">
        <f>IFERROR(__xludf.DUMMYFUNCTION("""COMPUTED_VALUE"""),46178.0)</f>
        <v>46178</v>
      </c>
      <c r="E43" s="34" t="str">
        <f>IFERROR(__xludf.DUMMYFUNCTION("""COMPUTED_VALUE"""),"IENDAH")</f>
        <v>IENDAH</v>
      </c>
    </row>
    <row r="44">
      <c r="A44" s="34" t="str">
        <f>IFERROR(__xludf.DUMMYFUNCTION("""COMPUTED_VALUE"""),"PEMBOLONG KERTAS")</f>
        <v>PEMBOLONG KERTAS</v>
      </c>
      <c r="B44" s="34">
        <f>IFERROR(__xludf.DUMMYFUNCTION("""COMPUTED_VALUE"""),6.0)</f>
        <v>6</v>
      </c>
      <c r="C44" s="34"/>
      <c r="D44" s="36">
        <f>IFERROR(__xludf.DUMMYFUNCTION("""COMPUTED_VALUE"""),46178.0)</f>
        <v>46178</v>
      </c>
      <c r="E44" s="34" t="str">
        <f>IFERROR(__xludf.DUMMYFUNCTION("""COMPUTED_VALUE"""),"IENDAH")</f>
        <v>IENDAH</v>
      </c>
    </row>
    <row r="45">
      <c r="A45" s="34" t="str">
        <f>IFERROR(__xludf.DUMMYFUNCTION("""COMPUTED_VALUE"""),"LASERJET BLACK")</f>
        <v>LASERJET BLACK</v>
      </c>
      <c r="B45" s="34">
        <f>IFERROR(__xludf.DUMMYFUNCTION("""COMPUTED_VALUE"""),9.0)</f>
        <v>9</v>
      </c>
      <c r="C45" s="34"/>
      <c r="D45" s="36">
        <f>IFERROR(__xludf.DUMMYFUNCTION("""COMPUTED_VALUE"""),46178.0)</f>
        <v>46178</v>
      </c>
      <c r="E45" s="34" t="str">
        <f>IFERROR(__xludf.DUMMYFUNCTION("""COMPUTED_VALUE"""),"IENDAH")</f>
        <v>IENDAH</v>
      </c>
    </row>
    <row r="46">
      <c r="A46" s="34" t="str">
        <f>IFERROR(__xludf.DUMMYFUNCTION("""COMPUTED_VALUE"""),"SABUN LANTAI ")</f>
        <v>SABUN LANTAI </v>
      </c>
      <c r="B46" s="34">
        <f>IFERROR(__xludf.DUMMYFUNCTION("""COMPUTED_VALUE"""),5.0)</f>
        <v>5</v>
      </c>
      <c r="C46" s="34"/>
      <c r="D46" s="36">
        <f>IFERROR(__xludf.DUMMYFUNCTION("""COMPUTED_VALUE"""),46178.0)</f>
        <v>46178</v>
      </c>
      <c r="E46" s="34" t="str">
        <f>IFERROR(__xludf.DUMMYFUNCTION("""COMPUTED_VALUE"""),"SHERLY")</f>
        <v>SHERLY</v>
      </c>
    </row>
    <row r="47">
      <c r="A47" s="34" t="str">
        <f>IFERROR(__xludf.DUMMYFUNCTION("""COMPUTED_VALUE"""),"SABUN CUCI PIRING ")</f>
        <v>SABUN CUCI PIRING </v>
      </c>
      <c r="B47" s="34">
        <f>IFERROR(__xludf.DUMMYFUNCTION("""COMPUTED_VALUE"""),10.0)</f>
        <v>10</v>
      </c>
      <c r="C47" s="34"/>
      <c r="D47" s="36">
        <f>IFERROR(__xludf.DUMMYFUNCTION("""COMPUTED_VALUE"""),46178.0)</f>
        <v>46178</v>
      </c>
      <c r="E47" s="34" t="str">
        <f>IFERROR(__xludf.DUMMYFUNCTION("""COMPUTED_VALUE"""),"SHERLY")</f>
        <v>SHERLY</v>
      </c>
    </row>
    <row r="48">
      <c r="A48" s="34" t="str">
        <f>IFERROR(__xludf.DUMMYFUNCTION("""COMPUTED_VALUE"""),"SABUN CUCI TANGAN")</f>
        <v>SABUN CUCI TANGAN</v>
      </c>
      <c r="B48" s="34">
        <f>IFERROR(__xludf.DUMMYFUNCTION("""COMPUTED_VALUE"""),5.0)</f>
        <v>5</v>
      </c>
      <c r="C48" s="34"/>
      <c r="D48" s="36">
        <f>IFERROR(__xludf.DUMMYFUNCTION("""COMPUTED_VALUE"""),46178.0)</f>
        <v>46178</v>
      </c>
      <c r="E48" s="34" t="str">
        <f>IFERROR(__xludf.DUMMYFUNCTION("""COMPUTED_VALUE"""),"SHERLY")</f>
        <v>SHERLY</v>
      </c>
    </row>
    <row r="49">
      <c r="A49" s="34" t="str">
        <f>IFERROR(__xludf.DUMMYFUNCTION("""COMPUTED_VALUE"""),"GLADE ")</f>
        <v>GLADE </v>
      </c>
      <c r="B49" s="34">
        <f>IFERROR(__xludf.DUMMYFUNCTION("""COMPUTED_VALUE"""),12.0)</f>
        <v>12</v>
      </c>
      <c r="C49" s="34"/>
      <c r="D49" s="36">
        <f>IFERROR(__xludf.DUMMYFUNCTION("""COMPUTED_VALUE"""),46178.0)</f>
        <v>46178</v>
      </c>
      <c r="E49" s="34" t="str">
        <f>IFERROR(__xludf.DUMMYFUNCTION("""COMPUTED_VALUE"""),"SHERLY")</f>
        <v>SHERLY</v>
      </c>
    </row>
    <row r="50">
      <c r="A50" s="34" t="str">
        <f>IFERROR(__xludf.DUMMYFUNCTION("""COMPUTED_VALUE"""),"KONTAINER FOOD")</f>
        <v>KONTAINER FOOD</v>
      </c>
      <c r="B50" s="34">
        <f>IFERROR(__xludf.DUMMYFUNCTION("""COMPUTED_VALUE"""),15.0)</f>
        <v>15</v>
      </c>
      <c r="C50" s="34"/>
      <c r="D50" s="36">
        <f>IFERROR(__xludf.DUMMYFUNCTION("""COMPUTED_VALUE"""),46179.0)</f>
        <v>46179</v>
      </c>
      <c r="E50" s="34" t="str">
        <f>IFERROR(__xludf.DUMMYFUNCTION("""COMPUTED_VALUE"""),"SHERLY")</f>
        <v>SHERLY</v>
      </c>
    </row>
    <row r="51">
      <c r="A51" s="34" t="str">
        <f>IFERROR(__xludf.DUMMYFUNCTION("""COMPUTED_VALUE"""),"TEMPAT RAK PAYUNG")</f>
        <v>TEMPAT RAK PAYUNG</v>
      </c>
      <c r="B51" s="34">
        <f>IFERROR(__xludf.DUMMYFUNCTION("""COMPUTED_VALUE"""),8.0)</f>
        <v>8</v>
      </c>
      <c r="C51" s="34"/>
      <c r="D51" s="36">
        <f>IFERROR(__xludf.DUMMYFUNCTION("""COMPUTED_VALUE"""),46179.0)</f>
        <v>46179</v>
      </c>
      <c r="E51" s="34" t="str">
        <f>IFERROR(__xludf.DUMMYFUNCTION("""COMPUTED_VALUE"""),"SHERLY")</f>
        <v>SHERLY</v>
      </c>
    </row>
    <row r="52">
      <c r="A52" s="34" t="str">
        <f>IFERROR(__xludf.DUMMYFUNCTION("""COMPUTED_VALUE"""),"HAIRNET KAIN")</f>
        <v>HAIRNET KAIN</v>
      </c>
      <c r="B52" s="34">
        <f>IFERROR(__xludf.DUMMYFUNCTION("""COMPUTED_VALUE"""),30.0)</f>
        <v>30</v>
      </c>
      <c r="C52" s="34"/>
      <c r="D52" s="36">
        <f>IFERROR(__xludf.DUMMYFUNCTION("""COMPUTED_VALUE"""),46179.0)</f>
        <v>46179</v>
      </c>
      <c r="E52" s="34" t="str">
        <f>IFERROR(__xludf.DUMMYFUNCTION("""COMPUTED_VALUE"""),"SHERLY")</f>
        <v>SHERLY</v>
      </c>
    </row>
    <row r="53">
      <c r="A53" s="34" t="str">
        <f>IFERROR(__xludf.DUMMYFUNCTION("""COMPUTED_VALUE"""),"AQUAPROOF")</f>
        <v>AQUAPROOF</v>
      </c>
      <c r="B53" s="34">
        <f>IFERROR(__xludf.DUMMYFUNCTION("""COMPUTED_VALUE"""),5.0)</f>
        <v>5</v>
      </c>
      <c r="C53" s="34"/>
      <c r="D53" s="36">
        <f>IFERROR(__xludf.DUMMYFUNCTION("""COMPUTED_VALUE"""),46181.0)</f>
        <v>46181</v>
      </c>
      <c r="E53" s="34" t="str">
        <f>IFERROR(__xludf.DUMMYFUNCTION("""COMPUTED_VALUE"""),"SHERLY")</f>
        <v>SHERLY</v>
      </c>
    </row>
    <row r="54">
      <c r="A54" s="34" t="str">
        <f>IFERROR(__xludf.DUMMYFUNCTION("""COMPUTED_VALUE"""),"DELI PENA MEJA PULPEN PEN SMILE DESK PEN STAND 0.7MM - HITAM")</f>
        <v>DELI PENA MEJA PULPEN PEN SMILE DESK PEN STAND 0.7MM - HITAM</v>
      </c>
      <c r="B54" s="34">
        <f>IFERROR(__xludf.DUMMYFUNCTION("""COMPUTED_VALUE"""),30.0)</f>
        <v>30</v>
      </c>
      <c r="C54" s="34"/>
      <c r="D54" s="36">
        <f>IFERROR(__xludf.DUMMYFUNCTION("""COMPUTED_VALUE"""),46182.0)</f>
        <v>46182</v>
      </c>
      <c r="E54" s="34" t="str">
        <f>IFERROR(__xludf.DUMMYFUNCTION("""COMPUTED_VALUE"""),"SHERLY")</f>
        <v>SHERLY</v>
      </c>
    </row>
    <row r="55">
      <c r="A55" s="34" t="str">
        <f>IFERROR(__xludf.DUMMYFUNCTION("""COMPUTED_VALUE"""),"BAYGON")</f>
        <v>BAYGON</v>
      </c>
      <c r="B55" s="34">
        <f>IFERROR(__xludf.DUMMYFUNCTION("""COMPUTED_VALUE"""),18.0)</f>
        <v>18</v>
      </c>
      <c r="C55" s="34"/>
      <c r="D55" s="36">
        <f>IFERROR(__xludf.DUMMYFUNCTION("""COMPUTED_VALUE"""),46182.0)</f>
        <v>46182</v>
      </c>
      <c r="E55" s="34" t="str">
        <f>IFERROR(__xludf.DUMMYFUNCTION("""COMPUTED_VALUE"""),"HARIYANTO")</f>
        <v>HARIYANTO</v>
      </c>
    </row>
    <row r="56">
      <c r="A56" s="34" t="str">
        <f>IFERROR(__xludf.DUMMYFUNCTION("""COMPUTED_VALUE"""),"HANDSPLAST WARNA WARNI")</f>
        <v>HANDSPLAST WARNA WARNI</v>
      </c>
      <c r="B56" s="34">
        <f>IFERROR(__xludf.DUMMYFUNCTION("""COMPUTED_VALUE"""),10.0)</f>
        <v>10</v>
      </c>
      <c r="C56" s="34"/>
      <c r="D56" s="36">
        <f>IFERROR(__xludf.DUMMYFUNCTION("""COMPUTED_VALUE"""),46182.0)</f>
        <v>46182</v>
      </c>
      <c r="E56" s="34" t="str">
        <f>IFERROR(__xludf.DUMMYFUNCTION("""COMPUTED_VALUE"""),"HARIYANTO")</f>
        <v>HARIYANTO</v>
      </c>
    </row>
    <row r="57">
      <c r="A57" s="34" t="str">
        <f>IFERROR(__xludf.DUMMYFUNCTION("""COMPUTED_VALUE"""),"SIKAT CLOSET")</f>
        <v>SIKAT CLOSET</v>
      </c>
      <c r="B57" s="34">
        <f>IFERROR(__xludf.DUMMYFUNCTION("""COMPUTED_VALUE"""),8.0)</f>
        <v>8</v>
      </c>
      <c r="C57" s="34"/>
      <c r="D57" s="36">
        <f>IFERROR(__xludf.DUMMYFUNCTION("""COMPUTED_VALUE"""),46182.0)</f>
        <v>46182</v>
      </c>
      <c r="E57" s="34" t="str">
        <f>IFERROR(__xludf.DUMMYFUNCTION("""COMPUTED_VALUE"""),"HARIYANTO")</f>
        <v>HARIYANTO</v>
      </c>
    </row>
    <row r="58">
      <c r="A58" s="34" t="str">
        <f>IFERROR(__xludf.DUMMYFUNCTION("""COMPUTED_VALUE"""),"KALKULATOR CITIZEN TYPE SDC 868 L")</f>
        <v>KALKULATOR CITIZEN TYPE SDC 868 L</v>
      </c>
      <c r="B58" s="34">
        <f>IFERROR(__xludf.DUMMYFUNCTION("""COMPUTED_VALUE"""),6.0)</f>
        <v>6</v>
      </c>
      <c r="C58" s="34"/>
      <c r="D58" s="36">
        <f>IFERROR(__xludf.DUMMYFUNCTION("""COMPUTED_VALUE"""),46182.0)</f>
        <v>46182</v>
      </c>
      <c r="E58" s="34" t="str">
        <f>IFERROR(__xludf.DUMMYFUNCTION("""COMPUTED_VALUE"""),"IENDAH")</f>
        <v>IENDAH</v>
      </c>
    </row>
    <row r="59">
      <c r="A59" s="34" t="str">
        <f>IFERROR(__xludf.DUMMYFUNCTION("""COMPUTED_VALUE"""),"SUSU ")</f>
        <v>SUSU </v>
      </c>
      <c r="B59" s="34">
        <f>IFERROR(__xludf.DUMMYFUNCTION("""COMPUTED_VALUE"""),528.0)</f>
        <v>528</v>
      </c>
      <c r="C59" s="34"/>
      <c r="D59" s="36">
        <f>IFERROR(__xludf.DUMMYFUNCTION("""COMPUTED_VALUE"""),46183.0)</f>
        <v>46183</v>
      </c>
      <c r="E59" s="34" t="str">
        <f>IFERROR(__xludf.DUMMYFUNCTION("""COMPUTED_VALUE"""),"IENDAH")</f>
        <v>IENDAH</v>
      </c>
    </row>
    <row r="60">
      <c r="A60" s="34" t="str">
        <f>IFERROR(__xludf.DUMMYFUNCTION("""COMPUTED_VALUE"""),"SALONPAS")</f>
        <v>SALONPAS</v>
      </c>
      <c r="B60" s="34">
        <f>IFERROR(__xludf.DUMMYFUNCTION("""COMPUTED_VALUE"""),20.0)</f>
        <v>20</v>
      </c>
      <c r="C60" s="34"/>
      <c r="D60" s="36">
        <f>IFERROR(__xludf.DUMMYFUNCTION("""COMPUTED_VALUE"""),46183.0)</f>
        <v>46183</v>
      </c>
      <c r="E60" s="34" t="str">
        <f>IFERROR(__xludf.DUMMYFUNCTION("""COMPUTED_VALUE"""),"IENDAH")</f>
        <v>IENDAH</v>
      </c>
    </row>
    <row r="61">
      <c r="A61" s="34" t="str">
        <f>IFERROR(__xludf.DUMMYFUNCTION("""COMPUTED_VALUE"""),"DOUBLE TAPE FOAM")</f>
        <v>DOUBLE TAPE FOAM</v>
      </c>
      <c r="B61" s="34">
        <f>IFERROR(__xludf.DUMMYFUNCTION("""COMPUTED_VALUE"""),30.0)</f>
        <v>30</v>
      </c>
      <c r="C61" s="34"/>
      <c r="D61" s="36">
        <f>IFERROR(__xludf.DUMMYFUNCTION("""COMPUTED_VALUE"""),46183.0)</f>
        <v>46183</v>
      </c>
      <c r="E61" s="34" t="str">
        <f>IFERROR(__xludf.DUMMYFUNCTION("""COMPUTED_VALUE"""),"IENDAH")</f>
        <v>IENDAH</v>
      </c>
    </row>
    <row r="62">
      <c r="A62" s="34" t="str">
        <f>IFERROR(__xludf.DUMMYFUNCTION("""COMPUTED_VALUE"""),"STICKY NOTE")</f>
        <v>STICKY NOTE</v>
      </c>
      <c r="B62" s="34">
        <f>IFERROR(__xludf.DUMMYFUNCTION("""COMPUTED_VALUE"""),5.0)</f>
        <v>5</v>
      </c>
      <c r="C62" s="34"/>
      <c r="D62" s="36">
        <f>IFERROR(__xludf.DUMMYFUNCTION("""COMPUTED_VALUE"""),46183.0)</f>
        <v>46183</v>
      </c>
      <c r="E62" s="34" t="str">
        <f>IFERROR(__xludf.DUMMYFUNCTION("""COMPUTED_VALUE"""),"IENDAH")</f>
        <v>IENDAH</v>
      </c>
    </row>
    <row r="63">
      <c r="A63" s="34" t="str">
        <f>IFERROR(__xludf.DUMMYFUNCTION("""COMPUTED_VALUE"""),"BATU BATERAI A2")</f>
        <v>BATU BATERAI A2</v>
      </c>
      <c r="B63" s="34">
        <f>IFERROR(__xludf.DUMMYFUNCTION("""COMPUTED_VALUE"""),360.0)</f>
        <v>360</v>
      </c>
      <c r="C63" s="34"/>
      <c r="D63" s="36">
        <f>IFERROR(__xludf.DUMMYFUNCTION("""COMPUTED_VALUE"""),46183.0)</f>
        <v>46183</v>
      </c>
      <c r="E63" s="34" t="str">
        <f>IFERROR(__xludf.DUMMYFUNCTION("""COMPUTED_VALUE"""),"IENDAH")</f>
        <v>IENDAH</v>
      </c>
    </row>
    <row r="64">
      <c r="A64" s="34" t="str">
        <f>IFERROR(__xludf.DUMMYFUNCTION("""COMPUTED_VALUE"""),"CAT EPODUR BLACK")</f>
        <v>CAT EPODUR BLACK</v>
      </c>
      <c r="B64" s="34">
        <f>IFERROR(__xludf.DUMMYFUNCTION("""COMPUTED_VALUE"""),12.0)</f>
        <v>12</v>
      </c>
      <c r="C64" s="34"/>
      <c r="D64" s="36">
        <f>IFERROR(__xludf.DUMMYFUNCTION("""COMPUTED_VALUE"""),46183.0)</f>
        <v>46183</v>
      </c>
      <c r="E64" s="34" t="str">
        <f>IFERROR(__xludf.DUMMYFUNCTION("""COMPUTED_VALUE"""),"IENDAH")</f>
        <v>IENDAH</v>
      </c>
    </row>
    <row r="65">
      <c r="A65" s="34" t="str">
        <f>IFERROR(__xludf.DUMMYFUNCTION("""COMPUTED_VALUE"""),"CAT EPODUR BRIGHT BLUE")</f>
        <v>CAT EPODUR BRIGHT BLUE</v>
      </c>
      <c r="B65" s="34">
        <f>IFERROR(__xludf.DUMMYFUNCTION("""COMPUTED_VALUE"""),12.0)</f>
        <v>12</v>
      </c>
      <c r="C65" s="34"/>
      <c r="D65" s="36">
        <f>IFERROR(__xludf.DUMMYFUNCTION("""COMPUTED_VALUE"""),46183.0)</f>
        <v>46183</v>
      </c>
      <c r="E65" s="34" t="str">
        <f>IFERROR(__xludf.DUMMYFUNCTION("""COMPUTED_VALUE"""),"IENDAH")</f>
        <v>IENDAH</v>
      </c>
    </row>
    <row r="66">
      <c r="A66" s="34" t="str">
        <f>IFERROR(__xludf.DUMMYFUNCTION("""COMPUTED_VALUE"""),"EMBER")</f>
        <v>EMBER</v>
      </c>
      <c r="B66" s="34">
        <f>IFERROR(__xludf.DUMMYFUNCTION("""COMPUTED_VALUE"""),8.0)</f>
        <v>8</v>
      </c>
      <c r="C66" s="34"/>
      <c r="D66" s="36">
        <f>IFERROR(__xludf.DUMMYFUNCTION("""COMPUTED_VALUE"""),46184.0)</f>
        <v>46184</v>
      </c>
      <c r="E66" s="34" t="str">
        <f>IFERROR(__xludf.DUMMYFUNCTION("""COMPUTED_VALUE"""),"SHERLY")</f>
        <v>SHERLY</v>
      </c>
    </row>
    <row r="67">
      <c r="A67" s="34" t="str">
        <f>IFERROR(__xludf.DUMMYFUNCTION("""COMPUTED_VALUE"""),"TOPRON PEMBERSIH KERAMIK , PORCELAIN BOTOL 1 LITER ")</f>
        <v>TOPRON PEMBERSIH KERAMIK , PORCELAIN BOTOL 1 LITER </v>
      </c>
      <c r="B67" s="34">
        <f>IFERROR(__xludf.DUMMYFUNCTION("""COMPUTED_VALUE"""),12.0)</f>
        <v>12</v>
      </c>
      <c r="C67" s="34"/>
      <c r="D67" s="36">
        <f>IFERROR(__xludf.DUMMYFUNCTION("""COMPUTED_VALUE"""),46184.0)</f>
        <v>46184</v>
      </c>
      <c r="E67" s="34" t="str">
        <f>IFERROR(__xludf.DUMMYFUNCTION("""COMPUTED_VALUE"""),"SHERLY")</f>
        <v>SHERLY</v>
      </c>
    </row>
    <row r="68">
      <c r="A68" s="34" t="str">
        <f>IFERROR(__xludf.DUMMYFUNCTION("""COMPUTED_VALUE"""),"AIR MINERAL")</f>
        <v>AIR MINERAL</v>
      </c>
      <c r="B68" s="34">
        <f>IFERROR(__xludf.DUMMYFUNCTION("""COMPUTED_VALUE"""),480.0)</f>
        <v>480</v>
      </c>
      <c r="C68" s="34"/>
      <c r="D68" s="36">
        <f>IFERROR(__xludf.DUMMYFUNCTION("""COMPUTED_VALUE"""),46184.0)</f>
        <v>46184</v>
      </c>
      <c r="E68" s="34" t="str">
        <f>IFERROR(__xludf.DUMMYFUNCTION("""COMPUTED_VALUE"""),"SHERLY")</f>
        <v>SHERLY</v>
      </c>
    </row>
    <row r="69">
      <c r="A69" s="34" t="str">
        <f>IFERROR(__xludf.DUMMYFUNCTION("""COMPUTED_VALUE"""),"TEH BOTOL")</f>
        <v>TEH BOTOL</v>
      </c>
      <c r="B69" s="34">
        <f>IFERROR(__xludf.DUMMYFUNCTION("""COMPUTED_VALUE"""),360.0)</f>
        <v>360</v>
      </c>
      <c r="C69" s="34"/>
      <c r="D69" s="36">
        <f>IFERROR(__xludf.DUMMYFUNCTION("""COMPUTED_VALUE"""),46184.0)</f>
        <v>46184</v>
      </c>
      <c r="E69" s="34" t="str">
        <f>IFERROR(__xludf.DUMMYFUNCTION("""COMPUTED_VALUE"""),"SHERLY")</f>
        <v>SHERLY</v>
      </c>
    </row>
    <row r="70">
      <c r="A70" s="34" t="str">
        <f>IFERROR(__xludf.DUMMYFUNCTION("""COMPUTED_VALUE"""),"KOTAK SAMPAH KECIL")</f>
        <v>KOTAK SAMPAH KECIL</v>
      </c>
      <c r="B70" s="34">
        <f>IFERROR(__xludf.DUMMYFUNCTION("""COMPUTED_VALUE"""),10.0)</f>
        <v>10</v>
      </c>
      <c r="C70" s="34"/>
      <c r="D70" s="36">
        <f>IFERROR(__xludf.DUMMYFUNCTION("""COMPUTED_VALUE"""),46185.0)</f>
        <v>46185</v>
      </c>
      <c r="E70" s="34" t="str">
        <f>IFERROR(__xludf.DUMMYFUNCTION("""COMPUTED_VALUE"""),"HARIYANTO")</f>
        <v>HARIYANTO</v>
      </c>
    </row>
    <row r="71">
      <c r="A71" s="34" t="str">
        <f>IFERROR(__xludf.DUMMYFUNCTION("""COMPUTED_VALUE"""),"KOTAK TISSUE")</f>
        <v>KOTAK TISSUE</v>
      </c>
      <c r="B71" s="34">
        <f>IFERROR(__xludf.DUMMYFUNCTION("""COMPUTED_VALUE"""),15.0)</f>
        <v>15</v>
      </c>
      <c r="C71" s="34"/>
      <c r="D71" s="36">
        <f>IFERROR(__xludf.DUMMYFUNCTION("""COMPUTED_VALUE"""),46185.0)</f>
        <v>46185</v>
      </c>
      <c r="E71" s="34" t="str">
        <f>IFERROR(__xludf.DUMMYFUNCTION("""COMPUTED_VALUE"""),"HARIYANTO")</f>
        <v>HARIYANTO</v>
      </c>
    </row>
    <row r="72">
      <c r="A72" s="34" t="str">
        <f>IFERROR(__xludf.DUMMYFUNCTION("""COMPUTED_VALUE"""),"GANTUNGAN SAPU 5 SLOT")</f>
        <v>GANTUNGAN SAPU 5 SLOT</v>
      </c>
      <c r="B72" s="34">
        <f>IFERROR(__xludf.DUMMYFUNCTION("""COMPUTED_VALUE"""),9.0)</f>
        <v>9</v>
      </c>
      <c r="C72" s="34"/>
      <c r="D72" s="36">
        <f>IFERROR(__xludf.DUMMYFUNCTION("""COMPUTED_VALUE"""),46185.0)</f>
        <v>46185</v>
      </c>
      <c r="E72" s="34" t="str">
        <f>IFERROR(__xludf.DUMMYFUNCTION("""COMPUTED_VALUE"""),"HARIYANTO")</f>
        <v>HARIYANTO</v>
      </c>
    </row>
    <row r="73">
      <c r="A73" s="34" t="str">
        <f>IFERROR(__xludf.DUMMYFUNCTION("""COMPUTED_VALUE"""),"KOTAK OBAT")</f>
        <v>KOTAK OBAT</v>
      </c>
      <c r="B73" s="34">
        <f>IFERROR(__xludf.DUMMYFUNCTION("""COMPUTED_VALUE"""),5.0)</f>
        <v>5</v>
      </c>
      <c r="C73" s="34"/>
      <c r="D73" s="36">
        <f>IFERROR(__xludf.DUMMYFUNCTION("""COMPUTED_VALUE"""),46185.0)</f>
        <v>46185</v>
      </c>
      <c r="E73" s="34" t="str">
        <f>IFERROR(__xludf.DUMMYFUNCTION("""COMPUTED_VALUE"""),"HARIYANTO")</f>
        <v>HARIYANTO</v>
      </c>
    </row>
    <row r="74">
      <c r="A74" s="34" t="str">
        <f>IFERROR(__xludf.DUMMYFUNCTION("""COMPUTED_VALUE"""),"SHEET PROTECTOR ")</f>
        <v>SHEET PROTECTOR </v>
      </c>
      <c r="B74" s="34">
        <f>IFERROR(__xludf.DUMMYFUNCTION("""COMPUTED_VALUE"""),150.0)</f>
        <v>150</v>
      </c>
      <c r="C74" s="34"/>
      <c r="D74" s="36">
        <f>IFERROR(__xludf.DUMMYFUNCTION("""COMPUTED_VALUE"""),46186.0)</f>
        <v>46186</v>
      </c>
      <c r="E74" s="34" t="str">
        <f>IFERROR(__xludf.DUMMYFUNCTION("""COMPUTED_VALUE"""),"SHERLY")</f>
        <v>SHERLY</v>
      </c>
    </row>
    <row r="75">
      <c r="A75" s="34" t="str">
        <f>IFERROR(__xludf.DUMMYFUNCTION("""COMPUTED_VALUE"""),"KESET")</f>
        <v>KESET</v>
      </c>
      <c r="B75" s="34">
        <f>IFERROR(__xludf.DUMMYFUNCTION("""COMPUTED_VALUE"""),10.0)</f>
        <v>10</v>
      </c>
      <c r="C75" s="34"/>
      <c r="D75" s="36">
        <f>IFERROR(__xludf.DUMMYFUNCTION("""COMPUTED_VALUE"""),46186.0)</f>
        <v>46186</v>
      </c>
      <c r="E75" s="34" t="str">
        <f>IFERROR(__xludf.DUMMYFUNCTION("""COMPUTED_VALUE"""),"SHERLY")</f>
        <v>SHERLY</v>
      </c>
    </row>
    <row r="76">
      <c r="A76" s="34" t="str">
        <f>IFERROR(__xludf.DUMMYFUNCTION("""COMPUTED_VALUE"""),"SANDAL")</f>
        <v>SANDAL</v>
      </c>
      <c r="B76" s="34">
        <f>IFERROR(__xludf.DUMMYFUNCTION("""COMPUTED_VALUE"""),5.0)</f>
        <v>5</v>
      </c>
      <c r="C76" s="34"/>
      <c r="D76" s="36">
        <f>IFERROR(__xludf.DUMMYFUNCTION("""COMPUTED_VALUE"""),46186.0)</f>
        <v>46186</v>
      </c>
      <c r="E76" s="34" t="str">
        <f>IFERROR(__xludf.DUMMYFUNCTION("""COMPUTED_VALUE"""),"SHERLY")</f>
        <v>SHERLY</v>
      </c>
    </row>
    <row r="77">
      <c r="A77" s="34" t="str">
        <f>IFERROR(__xludf.DUMMYFUNCTION("""COMPUTED_VALUE"""),"PLASTIK LAMINATIN ")</f>
        <v>PLASTIK LAMINATIN </v>
      </c>
      <c r="B77" s="34">
        <f>IFERROR(__xludf.DUMMYFUNCTION("""COMPUTED_VALUE"""),600.0)</f>
        <v>600</v>
      </c>
      <c r="C77" s="34"/>
      <c r="D77" s="36">
        <f>IFERROR(__xludf.DUMMYFUNCTION("""COMPUTED_VALUE"""),46186.0)</f>
        <v>46186</v>
      </c>
      <c r="E77" s="34" t="str">
        <f>IFERROR(__xludf.DUMMYFUNCTION("""COMPUTED_VALUE"""),"SHERLY")</f>
        <v>SHERLY</v>
      </c>
    </row>
    <row r="78">
      <c r="A78" s="34" t="str">
        <f>IFERROR(__xludf.DUMMYFUNCTION("""COMPUTED_VALUE"""),"PORSTEX")</f>
        <v>PORSTEX</v>
      </c>
      <c r="B78" s="34">
        <f>IFERROR(__xludf.DUMMYFUNCTION("""COMPUTED_VALUE"""),12.0)</f>
        <v>12</v>
      </c>
      <c r="C78" s="34"/>
      <c r="D78" s="36">
        <f>IFERROR(__xludf.DUMMYFUNCTION("""COMPUTED_VALUE"""),46188.0)</f>
        <v>46188</v>
      </c>
      <c r="E78" s="34" t="str">
        <f>IFERROR(__xludf.DUMMYFUNCTION("""COMPUTED_VALUE"""),"SHERLY")</f>
        <v>SHERLY</v>
      </c>
    </row>
    <row r="79">
      <c r="A79" s="34"/>
      <c r="B79" s="34"/>
      <c r="C79" s="34"/>
      <c r="D79" s="34"/>
      <c r="E79" s="34"/>
    </row>
    <row r="80">
      <c r="A80" s="34"/>
      <c r="B80" s="34"/>
      <c r="C80" s="34"/>
      <c r="D80" s="34"/>
      <c r="E80" s="34"/>
    </row>
    <row r="81">
      <c r="A81" s="34"/>
      <c r="B81" s="34"/>
      <c r="C81" s="34"/>
      <c r="D81" s="34"/>
      <c r="E81" s="34"/>
    </row>
    <row r="82">
      <c r="A82" s="34"/>
      <c r="B82" s="34"/>
      <c r="C82" s="34"/>
      <c r="D82" s="34"/>
      <c r="E82" s="34"/>
    </row>
    <row r="83">
      <c r="A83" s="34"/>
      <c r="B83" s="34"/>
      <c r="C83" s="34"/>
      <c r="D83" s="34"/>
      <c r="E83" s="34"/>
    </row>
    <row r="84">
      <c r="A84" s="34"/>
      <c r="B84" s="34"/>
      <c r="C84" s="34"/>
      <c r="D84" s="34"/>
      <c r="E84" s="34"/>
    </row>
    <row r="85">
      <c r="A85" s="34"/>
      <c r="B85" s="34"/>
      <c r="C85" s="34"/>
      <c r="D85" s="34"/>
      <c r="E85" s="34"/>
    </row>
    <row r="86">
      <c r="A86" s="34"/>
      <c r="B86" s="34"/>
      <c r="C86" s="34"/>
      <c r="D86" s="34"/>
      <c r="E86" s="34"/>
    </row>
    <row r="87">
      <c r="A87" s="34"/>
      <c r="B87" s="34"/>
      <c r="C87" s="34"/>
      <c r="D87" s="34"/>
      <c r="E87" s="34"/>
    </row>
    <row r="88">
      <c r="A88" s="34"/>
      <c r="B88" s="34"/>
      <c r="C88" s="34"/>
      <c r="D88" s="34"/>
      <c r="E88" s="34"/>
    </row>
    <row r="89">
      <c r="A89" s="34"/>
      <c r="B89" s="34"/>
      <c r="C89" s="34"/>
      <c r="D89" s="34"/>
      <c r="E89" s="34"/>
    </row>
    <row r="90">
      <c r="A90" s="34"/>
      <c r="B90" s="34"/>
      <c r="C90" s="34"/>
      <c r="D90" s="34"/>
      <c r="E90" s="34"/>
    </row>
    <row r="91">
      <c r="A91" s="34"/>
      <c r="B91" s="34"/>
      <c r="C91" s="34"/>
      <c r="D91" s="34"/>
      <c r="E91" s="34"/>
    </row>
    <row r="92">
      <c r="A92" s="34"/>
      <c r="B92" s="34"/>
      <c r="C92" s="34"/>
      <c r="D92" s="34"/>
      <c r="E92" s="34"/>
    </row>
    <row r="93">
      <c r="A93" s="34"/>
      <c r="B93" s="34"/>
      <c r="C93" s="34"/>
      <c r="D93" s="34"/>
      <c r="E93" s="34"/>
    </row>
    <row r="94">
      <c r="A94" s="34"/>
      <c r="B94" s="34"/>
      <c r="C94" s="34"/>
      <c r="D94" s="34"/>
      <c r="E94" s="34"/>
    </row>
    <row r="95">
      <c r="A95" s="34"/>
      <c r="B95" s="34"/>
      <c r="C95" s="34"/>
      <c r="D95" s="34"/>
      <c r="E95" s="34"/>
    </row>
    <row r="96">
      <c r="A96" s="34"/>
      <c r="B96" s="34"/>
      <c r="C96" s="34"/>
      <c r="D96" s="34"/>
      <c r="E96" s="34"/>
    </row>
    <row r="97">
      <c r="A97" s="34"/>
      <c r="B97" s="34"/>
      <c r="C97" s="34"/>
      <c r="D97" s="34"/>
      <c r="E97" s="34"/>
    </row>
    <row r="98">
      <c r="A98" s="34"/>
      <c r="B98" s="34"/>
      <c r="C98" s="34"/>
      <c r="D98" s="34"/>
      <c r="E98" s="34"/>
    </row>
    <row r="99">
      <c r="A99" s="34"/>
      <c r="B99" s="34"/>
      <c r="C99" s="34"/>
      <c r="D99" s="34"/>
      <c r="E99" s="34"/>
    </row>
    <row r="100">
      <c r="A100" s="34"/>
      <c r="B100" s="34"/>
      <c r="C100" s="34"/>
      <c r="D100" s="34"/>
      <c r="E100" s="34"/>
    </row>
    <row r="101">
      <c r="A101" s="34"/>
      <c r="B101" s="34"/>
      <c r="C101" s="34"/>
      <c r="D101" s="34"/>
      <c r="E101" s="34"/>
    </row>
    <row r="102">
      <c r="A102" s="34"/>
      <c r="B102" s="34"/>
      <c r="C102" s="34"/>
      <c r="D102" s="34"/>
      <c r="E102" s="34"/>
    </row>
    <row r="103">
      <c r="A103" s="34"/>
      <c r="B103" s="34"/>
      <c r="C103" s="34"/>
      <c r="D103" s="34"/>
      <c r="E103" s="34"/>
    </row>
    <row r="104">
      <c r="A104" s="34"/>
      <c r="B104" s="34"/>
      <c r="C104" s="34"/>
      <c r="D104" s="34"/>
      <c r="E104" s="34"/>
    </row>
    <row r="105">
      <c r="A105" s="34"/>
      <c r="B105" s="34"/>
      <c r="C105" s="34"/>
      <c r="D105" s="34"/>
      <c r="E105" s="34"/>
    </row>
    <row r="106">
      <c r="A106" s="34"/>
      <c r="B106" s="34"/>
      <c r="C106" s="34"/>
      <c r="D106" s="34"/>
      <c r="E106" s="34"/>
    </row>
    <row r="107">
      <c r="A107" s="34"/>
      <c r="B107" s="34"/>
      <c r="C107" s="34"/>
      <c r="D107" s="34"/>
      <c r="E107" s="34"/>
    </row>
    <row r="108">
      <c r="A108" s="34"/>
      <c r="B108" s="34"/>
      <c r="C108" s="34"/>
      <c r="D108" s="34"/>
      <c r="E108" s="34"/>
    </row>
    <row r="109">
      <c r="A109" s="34"/>
      <c r="B109" s="34"/>
      <c r="C109" s="34"/>
      <c r="D109" s="34"/>
      <c r="E109" s="34"/>
    </row>
    <row r="110">
      <c r="A110" s="34"/>
      <c r="B110" s="34"/>
      <c r="C110" s="34"/>
      <c r="D110" s="34"/>
      <c r="E110" s="34"/>
    </row>
    <row r="111">
      <c r="A111" s="34"/>
      <c r="B111" s="34"/>
      <c r="C111" s="34"/>
      <c r="D111" s="34"/>
      <c r="E111" s="34"/>
    </row>
    <row r="112">
      <c r="A112" s="34"/>
      <c r="B112" s="34"/>
      <c r="C112" s="34"/>
      <c r="D112" s="34"/>
      <c r="E112" s="34"/>
    </row>
    <row r="113">
      <c r="A113" s="34"/>
      <c r="B113" s="34"/>
      <c r="C113" s="34"/>
      <c r="D113" s="34"/>
      <c r="E113" s="34"/>
    </row>
    <row r="114">
      <c r="A114" s="34"/>
      <c r="B114" s="34"/>
      <c r="C114" s="34"/>
      <c r="D114" s="34"/>
      <c r="E114" s="34"/>
    </row>
    <row r="115">
      <c r="A115" s="34"/>
      <c r="B115" s="34"/>
      <c r="C115" s="34"/>
      <c r="D115" s="34"/>
      <c r="E115" s="34"/>
    </row>
    <row r="116">
      <c r="A116" s="34"/>
      <c r="B116" s="34"/>
      <c r="C116" s="34"/>
      <c r="D116" s="34"/>
      <c r="E116" s="34"/>
    </row>
    <row r="117">
      <c r="A117" s="34"/>
      <c r="B117" s="34"/>
      <c r="C117" s="34"/>
      <c r="D117" s="34"/>
      <c r="E117" s="34"/>
    </row>
    <row r="118">
      <c r="A118" s="34"/>
      <c r="B118" s="34"/>
      <c r="C118" s="34"/>
      <c r="D118" s="34"/>
      <c r="E118" s="34"/>
    </row>
    <row r="119">
      <c r="A119" s="34"/>
      <c r="B119" s="34"/>
      <c r="C119" s="34"/>
      <c r="D119" s="34"/>
      <c r="E119" s="34"/>
    </row>
    <row r="120">
      <c r="A120" s="34"/>
      <c r="B120" s="34"/>
      <c r="C120" s="34"/>
      <c r="D120" s="34"/>
      <c r="E120" s="34"/>
    </row>
    <row r="121">
      <c r="A121" s="34"/>
      <c r="B121" s="34"/>
      <c r="C121" s="34"/>
      <c r="D121" s="34"/>
      <c r="E121" s="34"/>
    </row>
    <row r="122">
      <c r="A122" s="34"/>
      <c r="B122" s="34"/>
      <c r="C122" s="34"/>
      <c r="D122" s="34"/>
      <c r="E122" s="34"/>
    </row>
    <row r="123">
      <c r="A123" s="34"/>
      <c r="B123" s="34"/>
      <c r="C123" s="34"/>
      <c r="D123" s="34"/>
      <c r="E123" s="34"/>
    </row>
    <row r="124">
      <c r="A124" s="34"/>
      <c r="B124" s="34"/>
      <c r="C124" s="34"/>
      <c r="D124" s="34"/>
      <c r="E124" s="34"/>
    </row>
    <row r="125">
      <c r="A125" s="34"/>
      <c r="B125" s="34"/>
      <c r="C125" s="34"/>
      <c r="D125" s="34"/>
      <c r="E125" s="34"/>
    </row>
    <row r="126">
      <c r="A126" s="34"/>
      <c r="B126" s="34"/>
      <c r="C126" s="34"/>
      <c r="D126" s="34"/>
      <c r="E126" s="34"/>
    </row>
    <row r="127">
      <c r="A127" s="34"/>
      <c r="B127" s="34"/>
      <c r="C127" s="34"/>
      <c r="D127" s="34"/>
      <c r="E127" s="34"/>
    </row>
    <row r="128">
      <c r="A128" s="34"/>
      <c r="B128" s="34"/>
      <c r="C128" s="34"/>
      <c r="D128" s="34"/>
      <c r="E128" s="34"/>
    </row>
    <row r="129">
      <c r="A129" s="34"/>
      <c r="B129" s="34"/>
      <c r="C129" s="34"/>
      <c r="D129" s="34"/>
      <c r="E129" s="34"/>
    </row>
    <row r="130">
      <c r="A130" s="34"/>
      <c r="B130" s="34"/>
      <c r="C130" s="34"/>
      <c r="D130" s="34"/>
      <c r="E130" s="34"/>
    </row>
    <row r="131">
      <c r="A131" s="34"/>
      <c r="B131" s="34"/>
      <c r="C131" s="34"/>
      <c r="D131" s="34"/>
      <c r="E131" s="34"/>
    </row>
    <row r="132">
      <c r="A132" s="34"/>
      <c r="B132" s="34"/>
      <c r="C132" s="34"/>
      <c r="D132" s="34"/>
      <c r="E132" s="34"/>
    </row>
    <row r="133">
      <c r="A133" s="34"/>
      <c r="B133" s="34"/>
      <c r="C133" s="34"/>
      <c r="D133" s="34"/>
      <c r="E133" s="34"/>
    </row>
    <row r="134">
      <c r="A134" s="34"/>
      <c r="B134" s="34"/>
      <c r="C134" s="34"/>
      <c r="D134" s="34"/>
      <c r="E134" s="34"/>
    </row>
    <row r="135">
      <c r="A135" s="34"/>
      <c r="B135" s="34"/>
      <c r="C135" s="34"/>
      <c r="D135" s="34"/>
      <c r="E135" s="34"/>
    </row>
    <row r="136">
      <c r="A136" s="34"/>
      <c r="B136" s="34"/>
      <c r="C136" s="34"/>
      <c r="D136" s="34"/>
      <c r="E136" s="34"/>
    </row>
    <row r="137">
      <c r="A137" s="34"/>
      <c r="B137" s="34"/>
      <c r="C137" s="34"/>
      <c r="D137" s="34"/>
      <c r="E137" s="34"/>
    </row>
    <row r="138">
      <c r="A138" s="34"/>
      <c r="B138" s="34"/>
      <c r="C138" s="34"/>
      <c r="D138" s="34"/>
      <c r="E138" s="34"/>
    </row>
    <row r="139">
      <c r="A139" s="34"/>
      <c r="B139" s="34"/>
      <c r="C139" s="34"/>
      <c r="D139" s="34"/>
      <c r="E139" s="34"/>
    </row>
    <row r="140">
      <c r="A140" s="34"/>
      <c r="B140" s="34"/>
      <c r="C140" s="34"/>
      <c r="D140" s="34"/>
      <c r="E140" s="34"/>
    </row>
    <row r="141">
      <c r="A141" s="34"/>
      <c r="B141" s="34"/>
      <c r="C141" s="34"/>
      <c r="D141" s="34"/>
      <c r="E141" s="34"/>
    </row>
    <row r="142">
      <c r="A142" s="34"/>
      <c r="B142" s="34"/>
      <c r="C142" s="34"/>
      <c r="D142" s="34"/>
      <c r="E142" s="34"/>
    </row>
    <row r="143">
      <c r="A143" s="34"/>
      <c r="B143" s="34"/>
      <c r="C143" s="34"/>
      <c r="D143" s="34"/>
      <c r="E143" s="34"/>
    </row>
    <row r="144">
      <c r="A144" s="34"/>
      <c r="B144" s="34"/>
      <c r="C144" s="34"/>
      <c r="D144" s="34"/>
      <c r="E144" s="34"/>
    </row>
    <row r="145">
      <c r="A145" s="34"/>
      <c r="B145" s="34"/>
      <c r="C145" s="34"/>
      <c r="D145" s="34"/>
      <c r="E145" s="34"/>
    </row>
    <row r="146">
      <c r="A146" s="34"/>
      <c r="B146" s="34"/>
      <c r="C146" s="34"/>
      <c r="D146" s="34"/>
      <c r="E146" s="34"/>
    </row>
    <row r="147">
      <c r="A147" s="34"/>
      <c r="B147" s="34"/>
      <c r="C147" s="34"/>
      <c r="D147" s="34"/>
      <c r="E147" s="34"/>
    </row>
    <row r="148">
      <c r="A148" s="34"/>
      <c r="B148" s="34"/>
      <c r="C148" s="34"/>
      <c r="D148" s="34"/>
      <c r="E148" s="34"/>
    </row>
    <row r="149">
      <c r="A149" s="34"/>
      <c r="B149" s="34"/>
      <c r="C149" s="34"/>
      <c r="D149" s="34"/>
      <c r="E149" s="34"/>
    </row>
    <row r="150">
      <c r="A150" s="34"/>
      <c r="B150" s="34"/>
      <c r="C150" s="34"/>
      <c r="D150" s="34"/>
      <c r="E150" s="34"/>
    </row>
    <row r="151">
      <c r="A151" s="34"/>
      <c r="B151" s="34"/>
      <c r="C151" s="34"/>
      <c r="D151" s="34"/>
      <c r="E151" s="34"/>
    </row>
    <row r="152">
      <c r="A152" s="34"/>
      <c r="B152" s="34"/>
      <c r="C152" s="34"/>
      <c r="D152" s="34"/>
      <c r="E152" s="34"/>
    </row>
    <row r="153">
      <c r="A153" s="34"/>
      <c r="B153" s="34"/>
      <c r="C153" s="34"/>
      <c r="D153" s="34"/>
      <c r="E153" s="34"/>
    </row>
    <row r="154">
      <c r="A154" s="34"/>
      <c r="B154" s="34"/>
      <c r="C154" s="34"/>
      <c r="D154" s="34"/>
      <c r="E154" s="34"/>
    </row>
    <row r="155">
      <c r="A155" s="34"/>
      <c r="B155" s="34"/>
      <c r="C155" s="34"/>
      <c r="D155" s="34"/>
      <c r="E155" s="34"/>
    </row>
    <row r="156">
      <c r="A156" s="34"/>
      <c r="B156" s="34"/>
      <c r="C156" s="34"/>
      <c r="D156" s="34"/>
      <c r="E156" s="34"/>
    </row>
    <row r="157">
      <c r="A157" s="34"/>
      <c r="B157" s="34"/>
      <c r="C157" s="34"/>
      <c r="D157" s="34"/>
      <c r="E157" s="34"/>
    </row>
    <row r="158">
      <c r="A158" s="34"/>
      <c r="B158" s="34"/>
      <c r="C158" s="34"/>
      <c r="D158" s="34"/>
      <c r="E158" s="34"/>
    </row>
    <row r="159">
      <c r="A159" s="34"/>
      <c r="B159" s="34"/>
      <c r="C159" s="34"/>
      <c r="D159" s="34"/>
      <c r="E159" s="34"/>
    </row>
    <row r="160">
      <c r="A160" s="34"/>
      <c r="B160" s="34"/>
      <c r="C160" s="34"/>
      <c r="D160" s="34"/>
      <c r="E160" s="34"/>
    </row>
    <row r="161">
      <c r="A161" s="34"/>
      <c r="B161" s="34"/>
      <c r="C161" s="34"/>
      <c r="D161" s="34"/>
      <c r="E161" s="34"/>
    </row>
    <row r="162">
      <c r="A162" s="34"/>
      <c r="B162" s="34"/>
      <c r="C162" s="34"/>
      <c r="D162" s="34"/>
      <c r="E162" s="34"/>
    </row>
    <row r="163">
      <c r="A163" s="34"/>
      <c r="B163" s="34"/>
      <c r="C163" s="34"/>
      <c r="D163" s="34"/>
      <c r="E163" s="34"/>
    </row>
    <row r="164">
      <c r="A164" s="34"/>
      <c r="B164" s="34"/>
      <c r="C164" s="34"/>
      <c r="D164" s="34"/>
      <c r="E164" s="34"/>
    </row>
    <row r="165">
      <c r="A165" s="34"/>
      <c r="B165" s="34"/>
      <c r="C165" s="34"/>
      <c r="D165" s="34"/>
      <c r="E165" s="34"/>
    </row>
    <row r="166">
      <c r="A166" s="34"/>
      <c r="B166" s="34"/>
      <c r="C166" s="34"/>
      <c r="D166" s="34"/>
      <c r="E166" s="34"/>
    </row>
    <row r="167">
      <c r="A167" s="34"/>
      <c r="B167" s="34"/>
      <c r="C167" s="34"/>
      <c r="D167" s="34"/>
      <c r="E167" s="34"/>
    </row>
    <row r="168">
      <c r="A168" s="34"/>
      <c r="B168" s="34"/>
      <c r="C168" s="34"/>
      <c r="D168" s="34"/>
      <c r="E168" s="34"/>
    </row>
    <row r="169">
      <c r="A169" s="34"/>
      <c r="B169" s="34"/>
      <c r="C169" s="34"/>
      <c r="D169" s="34"/>
      <c r="E169" s="34"/>
    </row>
    <row r="170">
      <c r="A170" s="34"/>
      <c r="B170" s="34"/>
      <c r="C170" s="34"/>
      <c r="D170" s="34"/>
      <c r="E170" s="34"/>
    </row>
    <row r="171">
      <c r="A171" s="34"/>
      <c r="B171" s="34"/>
      <c r="C171" s="34"/>
      <c r="D171" s="34"/>
      <c r="E171" s="34"/>
    </row>
    <row r="172">
      <c r="A172" s="34"/>
      <c r="B172" s="34"/>
      <c r="C172" s="34"/>
      <c r="D172" s="34"/>
      <c r="E172" s="34"/>
    </row>
    <row r="173">
      <c r="A173" s="34"/>
      <c r="B173" s="34"/>
      <c r="C173" s="34"/>
      <c r="D173" s="34"/>
      <c r="E173" s="34"/>
    </row>
    <row r="174">
      <c r="A174" s="34"/>
      <c r="B174" s="34"/>
      <c r="C174" s="34"/>
      <c r="D174" s="34"/>
      <c r="E174" s="34"/>
    </row>
    <row r="175">
      <c r="A175" s="34"/>
      <c r="B175" s="34"/>
      <c r="C175" s="34"/>
      <c r="D175" s="34"/>
      <c r="E175" s="34"/>
    </row>
    <row r="176">
      <c r="A176" s="34"/>
      <c r="B176" s="34"/>
      <c r="C176" s="34"/>
      <c r="D176" s="34"/>
      <c r="E176" s="34"/>
    </row>
    <row r="177">
      <c r="A177" s="34"/>
      <c r="B177" s="34"/>
      <c r="C177" s="34"/>
      <c r="D177" s="34"/>
      <c r="E177" s="34"/>
    </row>
    <row r="178">
      <c r="A178" s="34"/>
      <c r="B178" s="34"/>
      <c r="C178" s="34"/>
      <c r="D178" s="34"/>
      <c r="E178" s="34"/>
    </row>
    <row r="179">
      <c r="A179" s="34"/>
      <c r="B179" s="34"/>
      <c r="C179" s="34"/>
      <c r="D179" s="34"/>
      <c r="E179" s="34"/>
    </row>
    <row r="180">
      <c r="A180" s="34"/>
      <c r="B180" s="34"/>
      <c r="C180" s="34"/>
      <c r="D180" s="34"/>
      <c r="E180" s="34"/>
    </row>
    <row r="181">
      <c r="A181" s="34"/>
      <c r="B181" s="34"/>
      <c r="C181" s="34"/>
      <c r="D181" s="34"/>
      <c r="E181" s="34"/>
    </row>
    <row r="182">
      <c r="A182" s="34"/>
      <c r="B182" s="34"/>
      <c r="C182" s="34"/>
      <c r="D182" s="34"/>
      <c r="E182" s="34"/>
    </row>
    <row r="183">
      <c r="A183" s="34"/>
      <c r="B183" s="34"/>
      <c r="C183" s="34"/>
      <c r="D183" s="34"/>
      <c r="E183" s="34"/>
    </row>
    <row r="184">
      <c r="A184" s="34"/>
      <c r="B184" s="34"/>
      <c r="C184" s="34"/>
      <c r="D184" s="34"/>
      <c r="E184" s="34"/>
    </row>
    <row r="185">
      <c r="A185" s="34"/>
      <c r="B185" s="34"/>
      <c r="C185" s="34"/>
      <c r="D185" s="34"/>
      <c r="E185" s="34"/>
    </row>
    <row r="186">
      <c r="A186" s="34"/>
      <c r="B186" s="34"/>
      <c r="C186" s="34"/>
      <c r="D186" s="34"/>
      <c r="E186" s="34"/>
    </row>
    <row r="187">
      <c r="A187" s="34"/>
      <c r="B187" s="34"/>
      <c r="C187" s="34"/>
      <c r="D187" s="34"/>
      <c r="E187" s="34"/>
    </row>
    <row r="188">
      <c r="A188" s="34"/>
      <c r="B188" s="34"/>
      <c r="C188" s="34"/>
      <c r="D188" s="34"/>
      <c r="E188" s="34"/>
    </row>
    <row r="189">
      <c r="A189" s="34"/>
      <c r="B189" s="34"/>
      <c r="C189" s="34"/>
      <c r="D189" s="34"/>
      <c r="E189" s="34"/>
    </row>
    <row r="190">
      <c r="A190" s="34"/>
      <c r="B190" s="34"/>
      <c r="C190" s="34"/>
      <c r="D190" s="34"/>
      <c r="E190" s="34"/>
    </row>
    <row r="191">
      <c r="A191" s="34"/>
      <c r="B191" s="34"/>
      <c r="C191" s="34"/>
      <c r="D191" s="34"/>
      <c r="E191" s="34"/>
    </row>
    <row r="192">
      <c r="A192" s="34"/>
      <c r="B192" s="34"/>
      <c r="C192" s="34"/>
      <c r="D192" s="34"/>
      <c r="E192" s="34"/>
    </row>
    <row r="193">
      <c r="A193" s="34"/>
      <c r="B193" s="34"/>
      <c r="C193" s="34"/>
      <c r="D193" s="34"/>
      <c r="E193" s="34"/>
    </row>
    <row r="194">
      <c r="A194" s="34"/>
      <c r="B194" s="34"/>
      <c r="C194" s="34"/>
      <c r="D194" s="34"/>
      <c r="E194" s="34"/>
    </row>
    <row r="195">
      <c r="A195" s="34"/>
      <c r="B195" s="34"/>
      <c r="C195" s="34"/>
      <c r="D195" s="34"/>
      <c r="E195" s="34"/>
    </row>
    <row r="196">
      <c r="A196" s="34"/>
      <c r="B196" s="34"/>
      <c r="C196" s="34"/>
      <c r="D196" s="34"/>
      <c r="E196" s="34"/>
    </row>
    <row r="197">
      <c r="A197" s="34"/>
      <c r="B197" s="34"/>
      <c r="C197" s="34"/>
      <c r="D197" s="34"/>
      <c r="E197" s="34"/>
    </row>
    <row r="198">
      <c r="A198" s="34"/>
      <c r="B198" s="34"/>
      <c r="C198" s="34"/>
      <c r="D198" s="34"/>
      <c r="E198" s="34"/>
    </row>
    <row r="199">
      <c r="A199" s="34"/>
      <c r="B199" s="34"/>
      <c r="C199" s="34"/>
      <c r="D199" s="34"/>
      <c r="E199" s="34"/>
    </row>
    <row r="200">
      <c r="A200" s="34"/>
      <c r="B200" s="34"/>
      <c r="C200" s="34"/>
      <c r="D200" s="34"/>
      <c r="E200" s="34"/>
    </row>
    <row r="201">
      <c r="A201" s="34"/>
      <c r="B201" s="34"/>
      <c r="C201" s="34"/>
      <c r="D201" s="34"/>
      <c r="E201" s="34"/>
    </row>
    <row r="202">
      <c r="A202" s="34"/>
      <c r="B202" s="34"/>
      <c r="C202" s="34"/>
      <c r="D202" s="34"/>
      <c r="E202" s="34"/>
    </row>
    <row r="203">
      <c r="A203" s="34"/>
      <c r="B203" s="34"/>
      <c r="C203" s="34"/>
      <c r="D203" s="34"/>
      <c r="E203" s="34"/>
    </row>
    <row r="204">
      <c r="A204" s="34"/>
      <c r="B204" s="34"/>
      <c r="C204" s="34"/>
      <c r="D204" s="34"/>
      <c r="E204" s="34"/>
    </row>
    <row r="205">
      <c r="A205" s="34"/>
      <c r="B205" s="34"/>
      <c r="C205" s="34"/>
      <c r="D205" s="34"/>
      <c r="E205" s="34"/>
    </row>
    <row r="206">
      <c r="A206" s="34"/>
      <c r="B206" s="34"/>
      <c r="C206" s="34"/>
      <c r="D206" s="34"/>
      <c r="E206" s="34"/>
    </row>
    <row r="207">
      <c r="A207" s="34"/>
      <c r="B207" s="34"/>
      <c r="C207" s="34"/>
      <c r="D207" s="34"/>
      <c r="E207" s="34"/>
    </row>
    <row r="208">
      <c r="A208" s="34"/>
      <c r="B208" s="34"/>
      <c r="C208" s="34"/>
      <c r="D208" s="34"/>
      <c r="E208" s="34"/>
    </row>
    <row r="209">
      <c r="A209" s="34"/>
      <c r="B209" s="34"/>
      <c r="C209" s="34"/>
      <c r="D209" s="34"/>
      <c r="E209" s="34"/>
    </row>
    <row r="210">
      <c r="A210" s="34"/>
      <c r="B210" s="34"/>
      <c r="C210" s="34"/>
      <c r="D210" s="34"/>
      <c r="E210" s="34"/>
    </row>
    <row r="211">
      <c r="A211" s="34"/>
      <c r="B211" s="34"/>
      <c r="C211" s="34"/>
      <c r="D211" s="34"/>
      <c r="E211" s="34"/>
    </row>
    <row r="212">
      <c r="A212" s="34"/>
      <c r="B212" s="34"/>
      <c r="C212" s="34"/>
      <c r="D212" s="34"/>
      <c r="E212" s="34"/>
    </row>
    <row r="213">
      <c r="A213" s="34"/>
      <c r="B213" s="34"/>
      <c r="C213" s="34"/>
      <c r="D213" s="34"/>
      <c r="E213" s="34"/>
    </row>
    <row r="214">
      <c r="A214" s="34"/>
      <c r="B214" s="34"/>
      <c r="C214" s="34"/>
      <c r="D214" s="34"/>
      <c r="E214" s="34"/>
    </row>
    <row r="215">
      <c r="A215" s="34"/>
      <c r="B215" s="34"/>
      <c r="C215" s="34"/>
      <c r="D215" s="34"/>
      <c r="E215" s="34"/>
    </row>
    <row r="216">
      <c r="A216" s="34"/>
      <c r="B216" s="34"/>
      <c r="C216" s="34"/>
      <c r="D216" s="34"/>
      <c r="E216" s="34"/>
    </row>
    <row r="217">
      <c r="A217" s="34"/>
      <c r="B217" s="34"/>
      <c r="C217" s="34"/>
      <c r="D217" s="34"/>
      <c r="E217" s="34"/>
    </row>
    <row r="218">
      <c r="A218" s="34"/>
      <c r="B218" s="34"/>
      <c r="C218" s="34"/>
      <c r="D218" s="34"/>
      <c r="E218" s="34"/>
    </row>
    <row r="219">
      <c r="A219" s="34"/>
      <c r="B219" s="34"/>
      <c r="C219" s="34"/>
      <c r="D219" s="34"/>
      <c r="E219" s="34"/>
    </row>
    <row r="220">
      <c r="A220" s="34"/>
      <c r="B220" s="34"/>
      <c r="C220" s="34"/>
      <c r="D220" s="34"/>
      <c r="E220" s="34"/>
    </row>
    <row r="221">
      <c r="A221" s="34"/>
      <c r="B221" s="34"/>
      <c r="C221" s="34"/>
      <c r="D221" s="34"/>
      <c r="E221" s="34"/>
    </row>
    <row r="222">
      <c r="A222" s="34"/>
      <c r="B222" s="34"/>
      <c r="C222" s="34"/>
      <c r="D222" s="34"/>
      <c r="E222" s="34"/>
    </row>
    <row r="223">
      <c r="A223" s="34"/>
      <c r="B223" s="34"/>
      <c r="C223" s="34"/>
      <c r="D223" s="34"/>
      <c r="E223" s="34"/>
    </row>
    <row r="224">
      <c r="A224" s="34"/>
      <c r="B224" s="34"/>
      <c r="C224" s="34"/>
      <c r="D224" s="34"/>
      <c r="E224" s="34"/>
    </row>
    <row r="225">
      <c r="A225" s="34"/>
      <c r="B225" s="34"/>
      <c r="C225" s="34"/>
      <c r="D225" s="34"/>
      <c r="E225" s="34"/>
    </row>
    <row r="226">
      <c r="A226" s="34"/>
      <c r="B226" s="34"/>
      <c r="C226" s="34"/>
      <c r="D226" s="34"/>
      <c r="E226" s="34"/>
    </row>
    <row r="227">
      <c r="A227" s="34"/>
      <c r="B227" s="34"/>
      <c r="C227" s="34"/>
      <c r="D227" s="34"/>
      <c r="E227" s="34"/>
    </row>
    <row r="228">
      <c r="A228" s="34"/>
      <c r="B228" s="34"/>
      <c r="C228" s="34"/>
      <c r="D228" s="34"/>
      <c r="E228" s="34"/>
    </row>
    <row r="229">
      <c r="A229" s="34"/>
      <c r="B229" s="34"/>
      <c r="C229" s="34"/>
      <c r="D229" s="34"/>
      <c r="E229" s="34"/>
    </row>
    <row r="230">
      <c r="A230" s="34"/>
      <c r="B230" s="34"/>
      <c r="C230" s="34"/>
      <c r="D230" s="34"/>
      <c r="E230" s="34"/>
    </row>
    <row r="231">
      <c r="A231" s="34"/>
      <c r="B231" s="34"/>
      <c r="C231" s="34"/>
      <c r="D231" s="34"/>
      <c r="E231" s="34"/>
    </row>
    <row r="232">
      <c r="A232" s="34"/>
      <c r="B232" s="34"/>
      <c r="C232" s="34"/>
      <c r="D232" s="34"/>
      <c r="E232" s="34"/>
    </row>
    <row r="233">
      <c r="A233" s="34"/>
      <c r="B233" s="34"/>
      <c r="C233" s="34"/>
      <c r="D233" s="34"/>
      <c r="E233" s="34"/>
    </row>
    <row r="234">
      <c r="A234" s="34"/>
      <c r="B234" s="34"/>
      <c r="C234" s="34"/>
      <c r="D234" s="34"/>
      <c r="E234" s="34"/>
    </row>
    <row r="235">
      <c r="A235" s="34"/>
      <c r="B235" s="34"/>
      <c r="C235" s="34"/>
      <c r="D235" s="34"/>
      <c r="E235" s="34"/>
    </row>
    <row r="236">
      <c r="A236" s="34"/>
      <c r="B236" s="34"/>
      <c r="C236" s="34"/>
      <c r="D236" s="34"/>
      <c r="E236" s="34"/>
    </row>
    <row r="237">
      <c r="A237" s="34"/>
      <c r="B237" s="34"/>
      <c r="C237" s="34"/>
      <c r="D237" s="34"/>
      <c r="E237" s="34"/>
    </row>
    <row r="238">
      <c r="A238" s="34"/>
      <c r="B238" s="34"/>
      <c r="C238" s="34"/>
      <c r="D238" s="34"/>
      <c r="E238" s="34"/>
    </row>
    <row r="239">
      <c r="A239" s="34"/>
      <c r="B239" s="34"/>
      <c r="C239" s="34"/>
      <c r="D239" s="34"/>
      <c r="E239" s="34"/>
    </row>
    <row r="240">
      <c r="A240" s="34"/>
      <c r="B240" s="34"/>
      <c r="C240" s="34"/>
      <c r="D240" s="34"/>
      <c r="E240" s="34"/>
    </row>
    <row r="241">
      <c r="A241" s="34"/>
      <c r="B241" s="34"/>
      <c r="C241" s="34"/>
      <c r="D241" s="34"/>
      <c r="E241" s="34"/>
    </row>
    <row r="242">
      <c r="A242" s="34"/>
      <c r="B242" s="34"/>
      <c r="C242" s="34"/>
      <c r="D242" s="34"/>
      <c r="E242" s="34"/>
    </row>
    <row r="243">
      <c r="A243" s="34"/>
      <c r="B243" s="34"/>
      <c r="C243" s="34"/>
      <c r="D243" s="34"/>
      <c r="E243" s="34"/>
    </row>
    <row r="244">
      <c r="A244" s="34"/>
      <c r="B244" s="34"/>
      <c r="C244" s="34"/>
      <c r="D244" s="34"/>
      <c r="E244" s="34"/>
    </row>
    <row r="245">
      <c r="A245" s="34"/>
      <c r="B245" s="34"/>
      <c r="C245" s="34"/>
      <c r="D245" s="34"/>
      <c r="E245" s="34"/>
    </row>
    <row r="246">
      <c r="A246" s="34"/>
      <c r="B246" s="34"/>
      <c r="C246" s="34"/>
      <c r="D246" s="34"/>
      <c r="E246" s="34"/>
    </row>
    <row r="247">
      <c r="A247" s="34"/>
      <c r="B247" s="34"/>
      <c r="C247" s="34"/>
      <c r="D247" s="34"/>
      <c r="E247" s="34"/>
    </row>
    <row r="248">
      <c r="A248" s="34"/>
      <c r="B248" s="34"/>
      <c r="C248" s="34"/>
      <c r="D248" s="34"/>
      <c r="E248" s="34"/>
    </row>
    <row r="249">
      <c r="A249" s="34"/>
      <c r="B249" s="34"/>
      <c r="C249" s="34"/>
      <c r="D249" s="34"/>
      <c r="E249" s="34"/>
    </row>
    <row r="250">
      <c r="A250" s="34"/>
      <c r="B250" s="34"/>
      <c r="C250" s="34"/>
      <c r="D250" s="34"/>
      <c r="E250" s="34"/>
    </row>
    <row r="251">
      <c r="A251" s="34"/>
      <c r="B251" s="34"/>
      <c r="C251" s="34"/>
      <c r="D251" s="34"/>
      <c r="E251" s="34"/>
    </row>
    <row r="252">
      <c r="A252" s="34"/>
      <c r="B252" s="34"/>
      <c r="C252" s="34"/>
      <c r="D252" s="34"/>
      <c r="E252" s="34"/>
    </row>
    <row r="253">
      <c r="A253" s="34"/>
      <c r="B253" s="34"/>
      <c r="C253" s="34"/>
      <c r="D253" s="34"/>
      <c r="E253" s="34"/>
    </row>
    <row r="254">
      <c r="A254" s="34"/>
      <c r="B254" s="34"/>
      <c r="C254" s="34"/>
      <c r="D254" s="34"/>
      <c r="E254" s="34"/>
    </row>
    <row r="255">
      <c r="A255" s="34"/>
      <c r="B255" s="34"/>
      <c r="C255" s="34"/>
      <c r="D255" s="34"/>
      <c r="E255" s="34"/>
    </row>
    <row r="256">
      <c r="A256" s="34"/>
      <c r="B256" s="34"/>
      <c r="C256" s="34"/>
      <c r="D256" s="34"/>
      <c r="E256" s="34"/>
    </row>
    <row r="257">
      <c r="A257" s="34"/>
      <c r="B257" s="34"/>
      <c r="C257" s="34"/>
      <c r="D257" s="34"/>
      <c r="E257" s="34"/>
    </row>
    <row r="258">
      <c r="A258" s="34"/>
      <c r="B258" s="34"/>
      <c r="C258" s="34"/>
      <c r="D258" s="34"/>
      <c r="E258" s="34"/>
    </row>
    <row r="259">
      <c r="A259" s="34"/>
      <c r="B259" s="34"/>
      <c r="C259" s="34"/>
      <c r="D259" s="34"/>
      <c r="E259" s="34"/>
    </row>
    <row r="260">
      <c r="A260" s="34"/>
      <c r="B260" s="34"/>
      <c r="C260" s="34"/>
      <c r="D260" s="34"/>
      <c r="E260" s="34"/>
    </row>
    <row r="261">
      <c r="A261" s="34"/>
      <c r="B261" s="34"/>
      <c r="C261" s="34"/>
      <c r="D261" s="34"/>
      <c r="E261" s="34"/>
    </row>
    <row r="262">
      <c r="A262" s="34"/>
      <c r="B262" s="34"/>
      <c r="C262" s="34"/>
      <c r="D262" s="34"/>
      <c r="E262" s="34"/>
    </row>
    <row r="263">
      <c r="A263" s="34"/>
      <c r="B263" s="34"/>
      <c r="C263" s="34"/>
      <c r="D263" s="34"/>
      <c r="E263" s="34"/>
    </row>
    <row r="264">
      <c r="A264" s="34"/>
      <c r="B264" s="34"/>
      <c r="C264" s="34"/>
      <c r="D264" s="34"/>
      <c r="E264" s="34"/>
    </row>
    <row r="265">
      <c r="A265" s="34"/>
      <c r="B265" s="34"/>
      <c r="C265" s="34"/>
      <c r="D265" s="34"/>
      <c r="E265" s="34"/>
    </row>
    <row r="266">
      <c r="A266" s="34"/>
      <c r="B266" s="34"/>
      <c r="C266" s="34"/>
      <c r="D266" s="34"/>
      <c r="E266" s="34"/>
    </row>
    <row r="267">
      <c r="A267" s="34"/>
      <c r="B267" s="34"/>
      <c r="C267" s="34"/>
      <c r="D267" s="34"/>
      <c r="E267" s="34"/>
    </row>
    <row r="268">
      <c r="A268" s="34"/>
      <c r="B268" s="34"/>
      <c r="C268" s="34"/>
      <c r="D268" s="34"/>
      <c r="E268" s="34"/>
    </row>
    <row r="269">
      <c r="A269" s="34"/>
      <c r="B269" s="34"/>
      <c r="C269" s="34"/>
      <c r="D269" s="34"/>
      <c r="E269" s="34"/>
    </row>
    <row r="270">
      <c r="A270" s="34"/>
      <c r="B270" s="34"/>
      <c r="C270" s="34"/>
      <c r="D270" s="34"/>
      <c r="E270" s="34"/>
    </row>
    <row r="271">
      <c r="A271" s="34"/>
      <c r="B271" s="34"/>
      <c r="C271" s="34"/>
      <c r="D271" s="34"/>
      <c r="E271" s="34"/>
    </row>
    <row r="272">
      <c r="A272" s="34"/>
      <c r="B272" s="34"/>
      <c r="C272" s="34"/>
      <c r="D272" s="34"/>
      <c r="E272" s="34"/>
    </row>
    <row r="273">
      <c r="A273" s="34"/>
      <c r="B273" s="34"/>
      <c r="C273" s="34"/>
      <c r="D273" s="34"/>
      <c r="E273" s="34"/>
    </row>
    <row r="274">
      <c r="A274" s="34"/>
      <c r="B274" s="34"/>
      <c r="C274" s="34"/>
      <c r="D274" s="34"/>
      <c r="E274" s="34"/>
    </row>
    <row r="275">
      <c r="A275" s="34"/>
      <c r="B275" s="34"/>
      <c r="C275" s="34"/>
      <c r="D275" s="34"/>
      <c r="E275" s="34"/>
    </row>
    <row r="276">
      <c r="A276" s="34"/>
      <c r="B276" s="34"/>
      <c r="C276" s="34"/>
      <c r="D276" s="34"/>
      <c r="E276" s="34"/>
    </row>
    <row r="277">
      <c r="A277" s="34"/>
      <c r="B277" s="34"/>
      <c r="C277" s="34"/>
      <c r="D277" s="34"/>
      <c r="E277" s="34"/>
    </row>
    <row r="278">
      <c r="A278" s="34"/>
      <c r="B278" s="34"/>
      <c r="C278" s="34"/>
      <c r="D278" s="34"/>
      <c r="E278" s="34"/>
    </row>
    <row r="279">
      <c r="A279" s="34"/>
      <c r="B279" s="34"/>
      <c r="C279" s="34"/>
      <c r="D279" s="34"/>
      <c r="E279" s="34"/>
    </row>
    <row r="280">
      <c r="A280" s="34"/>
      <c r="B280" s="34"/>
      <c r="C280" s="34"/>
      <c r="D280" s="34"/>
      <c r="E280" s="34"/>
    </row>
    <row r="281">
      <c r="A281" s="34"/>
      <c r="B281" s="34"/>
      <c r="C281" s="34"/>
      <c r="D281" s="34"/>
      <c r="E281" s="34"/>
    </row>
    <row r="282">
      <c r="A282" s="34"/>
      <c r="B282" s="34"/>
      <c r="C282" s="34"/>
      <c r="D282" s="34"/>
      <c r="E282" s="34"/>
    </row>
    <row r="283">
      <c r="A283" s="34"/>
      <c r="B283" s="34"/>
      <c r="C283" s="34"/>
      <c r="D283" s="34"/>
      <c r="E283" s="34"/>
    </row>
    <row r="284">
      <c r="A284" s="34"/>
      <c r="B284" s="34"/>
      <c r="C284" s="34"/>
      <c r="D284" s="34"/>
      <c r="E284" s="34"/>
    </row>
    <row r="285">
      <c r="A285" s="34"/>
      <c r="B285" s="34"/>
      <c r="C285" s="34"/>
      <c r="D285" s="34"/>
      <c r="E285" s="34"/>
    </row>
    <row r="286">
      <c r="A286" s="34"/>
      <c r="B286" s="34"/>
      <c r="C286" s="34"/>
      <c r="D286" s="34"/>
      <c r="E286" s="34"/>
    </row>
    <row r="287">
      <c r="A287" s="34"/>
      <c r="B287" s="34"/>
      <c r="C287" s="34"/>
      <c r="D287" s="34"/>
      <c r="E287" s="34"/>
    </row>
    <row r="288">
      <c r="A288" s="34"/>
      <c r="B288" s="34"/>
      <c r="C288" s="34"/>
      <c r="D288" s="34"/>
      <c r="E288" s="34"/>
    </row>
    <row r="289">
      <c r="A289" s="34"/>
      <c r="B289" s="34"/>
      <c r="C289" s="34"/>
      <c r="D289" s="34"/>
      <c r="E289" s="34"/>
    </row>
    <row r="290">
      <c r="A290" s="34"/>
      <c r="B290" s="34"/>
      <c r="C290" s="34"/>
      <c r="D290" s="34"/>
      <c r="E290" s="34"/>
    </row>
    <row r="291">
      <c r="A291" s="34"/>
      <c r="B291" s="34"/>
      <c r="C291" s="34"/>
      <c r="D291" s="34"/>
      <c r="E291" s="34"/>
    </row>
    <row r="292">
      <c r="A292" s="34"/>
      <c r="B292" s="34"/>
      <c r="C292" s="34"/>
      <c r="D292" s="34"/>
      <c r="E292" s="34"/>
    </row>
    <row r="293">
      <c r="A293" s="34"/>
      <c r="B293" s="34"/>
      <c r="C293" s="34"/>
      <c r="D293" s="34"/>
      <c r="E293" s="34"/>
    </row>
    <row r="294">
      <c r="A294" s="34"/>
      <c r="B294" s="34"/>
      <c r="C294" s="34"/>
      <c r="D294" s="34"/>
      <c r="E294" s="34"/>
    </row>
    <row r="295">
      <c r="A295" s="34"/>
      <c r="B295" s="34"/>
      <c r="C295" s="34"/>
      <c r="D295" s="34"/>
      <c r="E295" s="34"/>
    </row>
    <row r="296">
      <c r="A296" s="34"/>
      <c r="B296" s="34"/>
      <c r="C296" s="34"/>
      <c r="D296" s="34"/>
      <c r="E296" s="34"/>
    </row>
    <row r="297">
      <c r="A297" s="34"/>
      <c r="B297" s="34"/>
      <c r="C297" s="34"/>
      <c r="D297" s="34"/>
      <c r="E297" s="34"/>
    </row>
    <row r="298">
      <c r="A298" s="34"/>
      <c r="B298" s="34"/>
      <c r="C298" s="34"/>
      <c r="D298" s="34"/>
      <c r="E298" s="34"/>
    </row>
    <row r="299">
      <c r="A299" s="34"/>
      <c r="B299" s="34"/>
      <c r="C299" s="34"/>
      <c r="D299" s="34"/>
      <c r="E299" s="34"/>
    </row>
    <row r="300">
      <c r="A300" s="34"/>
      <c r="B300" s="34"/>
      <c r="C300" s="34"/>
      <c r="D300" s="34"/>
      <c r="E300" s="34"/>
    </row>
    <row r="301">
      <c r="A301" s="34"/>
      <c r="B301" s="34"/>
      <c r="C301" s="34"/>
      <c r="D301" s="34"/>
      <c r="E301" s="34"/>
    </row>
    <row r="302">
      <c r="A302" s="34"/>
      <c r="B302" s="34"/>
      <c r="C302" s="34"/>
      <c r="D302" s="34"/>
      <c r="E302" s="34"/>
    </row>
    <row r="303">
      <c r="A303" s="34"/>
      <c r="B303" s="34"/>
      <c r="C303" s="34"/>
      <c r="D303" s="34"/>
      <c r="E303" s="34"/>
    </row>
    <row r="304">
      <c r="A304" s="34"/>
      <c r="B304" s="34"/>
      <c r="C304" s="34"/>
      <c r="D304" s="34"/>
      <c r="E304" s="34"/>
    </row>
    <row r="305">
      <c r="A305" s="34"/>
      <c r="B305" s="34"/>
      <c r="C305" s="34"/>
      <c r="D305" s="34"/>
      <c r="E305" s="34"/>
    </row>
    <row r="306">
      <c r="A306" s="34"/>
      <c r="B306" s="34"/>
      <c r="C306" s="34"/>
      <c r="D306" s="34"/>
      <c r="E306" s="34"/>
    </row>
    <row r="307">
      <c r="A307" s="34"/>
      <c r="B307" s="34"/>
      <c r="C307" s="34"/>
      <c r="D307" s="34"/>
      <c r="E307" s="34"/>
    </row>
    <row r="308">
      <c r="A308" s="34"/>
      <c r="B308" s="34"/>
      <c r="C308" s="34"/>
      <c r="D308" s="34"/>
      <c r="E308" s="34"/>
    </row>
    <row r="309">
      <c r="A309" s="34"/>
      <c r="B309" s="34"/>
      <c r="C309" s="34"/>
      <c r="D309" s="34"/>
      <c r="E309" s="34"/>
    </row>
    <row r="310">
      <c r="A310" s="34"/>
      <c r="B310" s="34"/>
      <c r="C310" s="34"/>
      <c r="D310" s="34"/>
      <c r="E310" s="34"/>
    </row>
    <row r="311">
      <c r="A311" s="34"/>
      <c r="B311" s="34"/>
      <c r="C311" s="34"/>
      <c r="D311" s="34"/>
      <c r="E311" s="34"/>
    </row>
    <row r="312">
      <c r="A312" s="34"/>
      <c r="B312" s="34"/>
      <c r="C312" s="34"/>
      <c r="D312" s="34"/>
      <c r="E312" s="34"/>
    </row>
    <row r="313">
      <c r="A313" s="34"/>
      <c r="B313" s="34"/>
      <c r="C313" s="34"/>
      <c r="D313" s="34"/>
      <c r="E313" s="34"/>
    </row>
    <row r="314">
      <c r="A314" s="34"/>
      <c r="B314" s="34"/>
      <c r="C314" s="34"/>
      <c r="D314" s="34"/>
      <c r="E314" s="34"/>
    </row>
    <row r="315">
      <c r="A315" s="34"/>
      <c r="B315" s="34"/>
      <c r="C315" s="34"/>
      <c r="D315" s="34"/>
      <c r="E315" s="34"/>
    </row>
    <row r="316">
      <c r="A316" s="34"/>
      <c r="B316" s="34"/>
      <c r="C316" s="34"/>
      <c r="D316" s="34"/>
      <c r="E316" s="34"/>
    </row>
    <row r="317">
      <c r="A317" s="34"/>
      <c r="B317" s="34"/>
      <c r="C317" s="34"/>
      <c r="D317" s="34"/>
      <c r="E317" s="34"/>
    </row>
    <row r="318">
      <c r="A318" s="34"/>
      <c r="B318" s="34"/>
      <c r="C318" s="34"/>
      <c r="D318" s="34"/>
      <c r="E318" s="34"/>
    </row>
    <row r="319">
      <c r="A319" s="34"/>
      <c r="B319" s="34"/>
      <c r="C319" s="34"/>
      <c r="D319" s="34"/>
      <c r="E319" s="34"/>
    </row>
    <row r="320">
      <c r="A320" s="34"/>
      <c r="B320" s="34"/>
      <c r="C320" s="34"/>
      <c r="D320" s="34"/>
      <c r="E320" s="34"/>
    </row>
    <row r="321">
      <c r="A321" s="34"/>
      <c r="B321" s="34"/>
      <c r="C321" s="34"/>
      <c r="D321" s="34"/>
      <c r="E321" s="34"/>
    </row>
    <row r="322">
      <c r="A322" s="34"/>
      <c r="B322" s="34"/>
      <c r="C322" s="34"/>
      <c r="D322" s="34"/>
      <c r="E322" s="34"/>
    </row>
    <row r="323">
      <c r="A323" s="34"/>
      <c r="B323" s="34"/>
      <c r="C323" s="34"/>
      <c r="D323" s="34"/>
      <c r="E323" s="34"/>
    </row>
    <row r="324">
      <c r="A324" s="34"/>
      <c r="B324" s="34"/>
      <c r="C324" s="34"/>
      <c r="D324" s="34"/>
      <c r="E324" s="34"/>
    </row>
    <row r="325">
      <c r="A325" s="34"/>
      <c r="B325" s="34"/>
      <c r="C325" s="34"/>
      <c r="D325" s="34"/>
      <c r="E325" s="34"/>
    </row>
    <row r="326">
      <c r="A326" s="34"/>
      <c r="B326" s="34"/>
      <c r="C326" s="34"/>
      <c r="D326" s="34"/>
      <c r="E326" s="34"/>
    </row>
    <row r="327">
      <c r="A327" s="34"/>
      <c r="B327" s="34"/>
      <c r="C327" s="34"/>
      <c r="D327" s="34"/>
      <c r="E327" s="34"/>
    </row>
    <row r="328">
      <c r="A328" s="34"/>
      <c r="B328" s="34"/>
      <c r="C328" s="34"/>
      <c r="D328" s="34"/>
      <c r="E328" s="34"/>
    </row>
    <row r="329">
      <c r="A329" s="34"/>
      <c r="B329" s="34"/>
      <c r="C329" s="34"/>
      <c r="D329" s="34"/>
      <c r="E329" s="34"/>
    </row>
    <row r="330">
      <c r="A330" s="34"/>
      <c r="B330" s="34"/>
      <c r="C330" s="34"/>
      <c r="D330" s="34"/>
      <c r="E330" s="34"/>
    </row>
    <row r="331">
      <c r="A331" s="34"/>
      <c r="B331" s="34"/>
      <c r="C331" s="34"/>
      <c r="D331" s="34"/>
      <c r="E331" s="34"/>
    </row>
    <row r="332">
      <c r="A332" s="34"/>
      <c r="B332" s="34"/>
      <c r="C332" s="34"/>
      <c r="D332" s="34"/>
      <c r="E332" s="34"/>
    </row>
    <row r="333">
      <c r="A333" s="34"/>
      <c r="B333" s="34"/>
      <c r="C333" s="34"/>
      <c r="D333" s="34"/>
      <c r="E333" s="34"/>
    </row>
    <row r="334">
      <c r="A334" s="34"/>
      <c r="B334" s="34"/>
      <c r="C334" s="34"/>
      <c r="D334" s="34"/>
      <c r="E334" s="34"/>
    </row>
    <row r="335">
      <c r="A335" s="34"/>
      <c r="B335" s="34"/>
      <c r="C335" s="34"/>
      <c r="D335" s="34"/>
      <c r="E335" s="34"/>
    </row>
    <row r="336">
      <c r="A336" s="34"/>
      <c r="B336" s="34"/>
      <c r="C336" s="34"/>
      <c r="D336" s="34"/>
      <c r="E336" s="34"/>
    </row>
    <row r="337">
      <c r="A337" s="34"/>
      <c r="B337" s="34"/>
      <c r="C337" s="34"/>
      <c r="D337" s="34"/>
      <c r="E337" s="34"/>
    </row>
    <row r="338">
      <c r="A338" s="34"/>
      <c r="B338" s="34"/>
      <c r="C338" s="34"/>
      <c r="D338" s="34"/>
      <c r="E338" s="34"/>
    </row>
    <row r="339">
      <c r="A339" s="34"/>
      <c r="B339" s="34"/>
      <c r="C339" s="34"/>
      <c r="D339" s="34"/>
      <c r="E339" s="34"/>
    </row>
    <row r="340">
      <c r="A340" s="34"/>
      <c r="B340" s="34"/>
      <c r="C340" s="34"/>
      <c r="D340" s="34"/>
      <c r="E340" s="34"/>
    </row>
    <row r="341">
      <c r="A341" s="34"/>
      <c r="B341" s="34"/>
      <c r="C341" s="34"/>
      <c r="D341" s="34"/>
      <c r="E341" s="34"/>
    </row>
    <row r="342">
      <c r="A342" s="34"/>
      <c r="B342" s="34"/>
      <c r="C342" s="34"/>
      <c r="D342" s="34"/>
      <c r="E342" s="34"/>
    </row>
    <row r="343">
      <c r="A343" s="34"/>
      <c r="B343" s="34"/>
      <c r="C343" s="34"/>
      <c r="D343" s="34"/>
      <c r="E343" s="34"/>
    </row>
    <row r="344">
      <c r="A344" s="34"/>
      <c r="B344" s="34"/>
      <c r="C344" s="34"/>
      <c r="D344" s="34"/>
      <c r="E344" s="34"/>
    </row>
    <row r="345">
      <c r="A345" s="34"/>
      <c r="B345" s="34"/>
      <c r="C345" s="34"/>
      <c r="D345" s="34"/>
      <c r="E345" s="34"/>
    </row>
    <row r="346">
      <c r="A346" s="34"/>
      <c r="B346" s="34"/>
      <c r="C346" s="34"/>
      <c r="D346" s="34"/>
      <c r="E346" s="34"/>
    </row>
    <row r="347">
      <c r="A347" s="34"/>
      <c r="B347" s="34"/>
      <c r="C347" s="34"/>
      <c r="D347" s="34"/>
      <c r="E347" s="34"/>
    </row>
    <row r="348">
      <c r="A348" s="34"/>
      <c r="B348" s="34"/>
      <c r="C348" s="34"/>
      <c r="D348" s="34"/>
      <c r="E348" s="34"/>
    </row>
    <row r="349">
      <c r="A349" s="34"/>
      <c r="B349" s="34"/>
      <c r="C349" s="34"/>
      <c r="D349" s="34"/>
      <c r="E349" s="34"/>
    </row>
    <row r="350">
      <c r="A350" s="34"/>
      <c r="B350" s="34"/>
      <c r="C350" s="34"/>
      <c r="D350" s="34"/>
      <c r="E350" s="34"/>
    </row>
    <row r="351">
      <c r="A351" s="34"/>
      <c r="B351" s="34"/>
      <c r="C351" s="34"/>
      <c r="D351" s="34"/>
      <c r="E351" s="34"/>
    </row>
    <row r="352">
      <c r="A352" s="34"/>
      <c r="B352" s="34"/>
      <c r="C352" s="34"/>
      <c r="D352" s="34"/>
      <c r="E352" s="34"/>
    </row>
    <row r="353">
      <c r="A353" s="34"/>
      <c r="B353" s="34"/>
      <c r="C353" s="34"/>
      <c r="D353" s="34"/>
      <c r="E353" s="34"/>
    </row>
    <row r="354">
      <c r="A354" s="34"/>
      <c r="B354" s="34"/>
      <c r="C354" s="34"/>
      <c r="D354" s="34"/>
      <c r="E354" s="34"/>
    </row>
    <row r="355">
      <c r="A355" s="34"/>
      <c r="B355" s="34"/>
      <c r="C355" s="34"/>
      <c r="D355" s="34"/>
      <c r="E355" s="34"/>
    </row>
    <row r="356">
      <c r="A356" s="34"/>
      <c r="B356" s="34"/>
      <c r="C356" s="34"/>
      <c r="D356" s="34"/>
      <c r="E356" s="34"/>
    </row>
    <row r="357">
      <c r="A357" s="34"/>
      <c r="B357" s="34"/>
      <c r="C357" s="34"/>
      <c r="D357" s="34"/>
      <c r="E357" s="34"/>
    </row>
    <row r="358">
      <c r="A358" s="34"/>
      <c r="B358" s="34"/>
      <c r="C358" s="34"/>
      <c r="D358" s="34"/>
      <c r="E358" s="34"/>
    </row>
    <row r="359">
      <c r="A359" s="34"/>
      <c r="B359" s="34"/>
      <c r="C359" s="34"/>
      <c r="D359" s="34"/>
      <c r="E359" s="34"/>
    </row>
    <row r="360">
      <c r="A360" s="34"/>
      <c r="B360" s="34"/>
      <c r="C360" s="34"/>
      <c r="D360" s="34"/>
      <c r="E360" s="34"/>
    </row>
    <row r="361">
      <c r="A361" s="34"/>
      <c r="B361" s="34"/>
      <c r="C361" s="34"/>
      <c r="D361" s="34"/>
      <c r="E361" s="34"/>
    </row>
    <row r="362">
      <c r="A362" s="34"/>
      <c r="B362" s="34"/>
      <c r="C362" s="34"/>
      <c r="D362" s="34"/>
      <c r="E362" s="34"/>
    </row>
    <row r="363">
      <c r="A363" s="34"/>
      <c r="B363" s="34"/>
      <c r="C363" s="34"/>
      <c r="D363" s="34"/>
      <c r="E363" s="34"/>
    </row>
    <row r="364">
      <c r="A364" s="34"/>
      <c r="B364" s="34"/>
      <c r="C364" s="34"/>
      <c r="D364" s="34"/>
      <c r="E364" s="34"/>
    </row>
    <row r="365">
      <c r="A365" s="34"/>
      <c r="B365" s="34"/>
      <c r="C365" s="34"/>
      <c r="D365" s="34"/>
      <c r="E365" s="34"/>
    </row>
    <row r="366">
      <c r="A366" s="34"/>
      <c r="B366" s="34"/>
      <c r="C366" s="34"/>
      <c r="D366" s="34"/>
      <c r="E366" s="34"/>
    </row>
    <row r="367">
      <c r="A367" s="34"/>
      <c r="B367" s="34"/>
      <c r="C367" s="34"/>
      <c r="D367" s="34"/>
      <c r="E367" s="34"/>
    </row>
    <row r="368">
      <c r="A368" s="34"/>
      <c r="B368" s="34"/>
      <c r="C368" s="34"/>
      <c r="D368" s="34"/>
      <c r="E368" s="34"/>
    </row>
    <row r="369">
      <c r="A369" s="34"/>
      <c r="B369" s="34"/>
      <c r="C369" s="34"/>
      <c r="D369" s="34"/>
      <c r="E369" s="34"/>
    </row>
    <row r="370">
      <c r="A370" s="34"/>
      <c r="B370" s="34"/>
      <c r="C370" s="34"/>
      <c r="D370" s="34"/>
      <c r="E370" s="34"/>
    </row>
    <row r="371">
      <c r="A371" s="34"/>
      <c r="B371" s="34"/>
      <c r="C371" s="34"/>
      <c r="D371" s="34"/>
      <c r="E371" s="34"/>
    </row>
    <row r="372">
      <c r="A372" s="34"/>
      <c r="B372" s="34"/>
      <c r="C372" s="34"/>
      <c r="D372" s="34"/>
      <c r="E372" s="34"/>
    </row>
    <row r="373">
      <c r="A373" s="34"/>
      <c r="B373" s="34"/>
      <c r="C373" s="34"/>
      <c r="D373" s="34"/>
      <c r="E373" s="34"/>
    </row>
    <row r="374">
      <c r="A374" s="34"/>
      <c r="B374" s="34"/>
      <c r="C374" s="34"/>
      <c r="D374" s="34"/>
      <c r="E374" s="34"/>
    </row>
    <row r="375">
      <c r="A375" s="34"/>
      <c r="B375" s="34"/>
      <c r="C375" s="34"/>
      <c r="D375" s="34"/>
      <c r="E375" s="34"/>
    </row>
    <row r="376">
      <c r="A376" s="34"/>
      <c r="B376" s="34"/>
      <c r="C376" s="34"/>
      <c r="D376" s="34"/>
      <c r="E376" s="34"/>
    </row>
    <row r="377">
      <c r="A377" s="34"/>
      <c r="B377" s="34"/>
      <c r="C377" s="34"/>
      <c r="D377" s="34"/>
      <c r="E377" s="34"/>
    </row>
    <row r="378">
      <c r="A378" s="34"/>
      <c r="B378" s="34"/>
      <c r="C378" s="34"/>
      <c r="D378" s="34"/>
      <c r="E378" s="34"/>
    </row>
    <row r="379">
      <c r="A379" s="34"/>
      <c r="B379" s="34"/>
      <c r="C379" s="34"/>
      <c r="D379" s="34"/>
      <c r="E379" s="34"/>
    </row>
    <row r="380">
      <c r="A380" s="34"/>
      <c r="B380" s="34"/>
      <c r="C380" s="34"/>
      <c r="D380" s="34"/>
      <c r="E380" s="34"/>
    </row>
    <row r="381">
      <c r="A381" s="34"/>
      <c r="B381" s="34"/>
      <c r="C381" s="34"/>
      <c r="D381" s="34"/>
      <c r="E381" s="34"/>
    </row>
    <row r="382">
      <c r="A382" s="34"/>
      <c r="B382" s="34"/>
      <c r="C382" s="34"/>
      <c r="D382" s="34"/>
      <c r="E382" s="34"/>
    </row>
    <row r="383">
      <c r="A383" s="34"/>
      <c r="B383" s="34"/>
      <c r="C383" s="34"/>
      <c r="D383" s="34"/>
      <c r="E383" s="34"/>
    </row>
    <row r="384">
      <c r="A384" s="34"/>
      <c r="B384" s="34"/>
      <c r="C384" s="34"/>
      <c r="D384" s="34"/>
      <c r="E384" s="34"/>
    </row>
    <row r="385">
      <c r="A385" s="34"/>
      <c r="B385" s="34"/>
      <c r="C385" s="34"/>
      <c r="D385" s="34"/>
      <c r="E385" s="34"/>
    </row>
    <row r="386">
      <c r="A386" s="34"/>
      <c r="B386" s="34"/>
      <c r="C386" s="34"/>
      <c r="D386" s="34"/>
      <c r="E386" s="34"/>
    </row>
    <row r="387">
      <c r="A387" s="34"/>
      <c r="B387" s="34"/>
      <c r="C387" s="34"/>
      <c r="D387" s="34"/>
      <c r="E387" s="34"/>
    </row>
    <row r="388">
      <c r="A388" s="34"/>
      <c r="B388" s="34"/>
      <c r="C388" s="34"/>
      <c r="D388" s="34"/>
      <c r="E388" s="34"/>
    </row>
    <row r="389">
      <c r="A389" s="34"/>
      <c r="B389" s="34"/>
      <c r="C389" s="34"/>
      <c r="D389" s="34"/>
      <c r="E389" s="34"/>
    </row>
    <row r="390">
      <c r="A390" s="34"/>
      <c r="B390" s="34"/>
      <c r="C390" s="34"/>
      <c r="D390" s="34"/>
      <c r="E390" s="34"/>
    </row>
    <row r="391">
      <c r="A391" s="34"/>
      <c r="B391" s="34"/>
      <c r="C391" s="34"/>
      <c r="D391" s="34"/>
      <c r="E391" s="34"/>
    </row>
    <row r="392">
      <c r="A392" s="34"/>
      <c r="B392" s="34"/>
      <c r="C392" s="34"/>
      <c r="D392" s="34"/>
      <c r="E392" s="34"/>
    </row>
    <row r="393">
      <c r="A393" s="34"/>
      <c r="B393" s="34"/>
      <c r="C393" s="34"/>
      <c r="D393" s="34"/>
      <c r="E393" s="34"/>
    </row>
    <row r="394">
      <c r="A394" s="34"/>
      <c r="B394" s="34"/>
      <c r="C394" s="34"/>
      <c r="D394" s="34"/>
      <c r="E394" s="34"/>
    </row>
    <row r="395">
      <c r="A395" s="34"/>
      <c r="B395" s="34"/>
      <c r="C395" s="34"/>
      <c r="D395" s="34"/>
      <c r="E395" s="34"/>
    </row>
    <row r="396">
      <c r="A396" s="34"/>
      <c r="B396" s="34"/>
      <c r="C396" s="34"/>
      <c r="D396" s="34"/>
      <c r="E396" s="34"/>
    </row>
    <row r="397">
      <c r="A397" s="34"/>
      <c r="B397" s="34"/>
      <c r="C397" s="34"/>
      <c r="D397" s="34"/>
      <c r="E397" s="34"/>
    </row>
    <row r="398">
      <c r="A398" s="34"/>
      <c r="B398" s="34"/>
      <c r="C398" s="34"/>
      <c r="D398" s="34"/>
      <c r="E398" s="34"/>
    </row>
    <row r="399">
      <c r="A399" s="34"/>
      <c r="B399" s="34"/>
      <c r="C399" s="34"/>
      <c r="D399" s="34"/>
      <c r="E399" s="34"/>
    </row>
    <row r="400">
      <c r="A400" s="34"/>
      <c r="B400" s="34"/>
      <c r="C400" s="34"/>
      <c r="D400" s="34"/>
      <c r="E400" s="34"/>
    </row>
    <row r="401">
      <c r="A401" s="34"/>
      <c r="B401" s="34"/>
      <c r="C401" s="34"/>
      <c r="D401" s="34"/>
      <c r="E401" s="34"/>
    </row>
    <row r="402">
      <c r="A402" s="34"/>
      <c r="B402" s="34"/>
      <c r="C402" s="34"/>
      <c r="D402" s="34"/>
      <c r="E402" s="34"/>
    </row>
    <row r="403">
      <c r="A403" s="34"/>
      <c r="B403" s="34"/>
      <c r="C403" s="34"/>
      <c r="D403" s="34"/>
      <c r="E403" s="34"/>
    </row>
    <row r="404">
      <c r="A404" s="34"/>
      <c r="B404" s="34"/>
      <c r="C404" s="34"/>
      <c r="D404" s="34"/>
      <c r="E404" s="34"/>
    </row>
    <row r="405">
      <c r="A405" s="34"/>
      <c r="B405" s="34"/>
      <c r="C405" s="34"/>
      <c r="D405" s="34"/>
      <c r="E405" s="34"/>
    </row>
    <row r="406">
      <c r="A406" s="34"/>
      <c r="B406" s="34"/>
      <c r="C406" s="34"/>
      <c r="D406" s="34"/>
      <c r="E406" s="34"/>
    </row>
    <row r="407">
      <c r="A407" s="34"/>
      <c r="B407" s="34"/>
      <c r="C407" s="34"/>
      <c r="D407" s="34"/>
      <c r="E407" s="34"/>
    </row>
    <row r="408">
      <c r="A408" s="34"/>
      <c r="B408" s="34"/>
      <c r="C408" s="34"/>
      <c r="D408" s="34"/>
      <c r="E408" s="34"/>
    </row>
    <row r="409">
      <c r="A409" s="34"/>
      <c r="B409" s="34"/>
      <c r="C409" s="34"/>
      <c r="D409" s="34"/>
      <c r="E409" s="34"/>
    </row>
    <row r="410">
      <c r="A410" s="34"/>
      <c r="B410" s="34"/>
      <c r="C410" s="34"/>
      <c r="D410" s="34"/>
      <c r="E410" s="34"/>
    </row>
    <row r="411">
      <c r="A411" s="34"/>
      <c r="B411" s="34"/>
      <c r="C411" s="34"/>
      <c r="D411" s="34"/>
      <c r="E411" s="34"/>
    </row>
    <row r="412">
      <c r="A412" s="34"/>
      <c r="B412" s="34"/>
      <c r="C412" s="34"/>
      <c r="D412" s="34"/>
      <c r="E412" s="34"/>
    </row>
    <row r="413">
      <c r="A413" s="34"/>
      <c r="B413" s="34"/>
      <c r="C413" s="34"/>
      <c r="D413" s="34"/>
      <c r="E413" s="34"/>
    </row>
    <row r="414">
      <c r="A414" s="34"/>
      <c r="B414" s="34"/>
      <c r="C414" s="34"/>
      <c r="D414" s="34"/>
      <c r="E414" s="34"/>
    </row>
    <row r="415">
      <c r="A415" s="34"/>
      <c r="B415" s="34"/>
      <c r="C415" s="34"/>
      <c r="D415" s="34"/>
      <c r="E415" s="34"/>
    </row>
    <row r="416">
      <c r="A416" s="34"/>
      <c r="B416" s="34"/>
      <c r="C416" s="34"/>
      <c r="D416" s="34"/>
      <c r="E416" s="34"/>
    </row>
    <row r="417">
      <c r="A417" s="34"/>
      <c r="B417" s="34"/>
      <c r="C417" s="34"/>
      <c r="D417" s="34"/>
      <c r="E417" s="34"/>
    </row>
    <row r="418">
      <c r="A418" s="34"/>
      <c r="B418" s="34"/>
      <c r="C418" s="34"/>
      <c r="D418" s="34"/>
      <c r="E418" s="34"/>
    </row>
    <row r="419">
      <c r="A419" s="34"/>
      <c r="B419" s="34"/>
      <c r="C419" s="34"/>
      <c r="D419" s="34"/>
      <c r="E419" s="34"/>
    </row>
    <row r="420">
      <c r="A420" s="34"/>
      <c r="B420" s="34"/>
      <c r="C420" s="34"/>
      <c r="D420" s="34"/>
      <c r="E420" s="34"/>
    </row>
    <row r="421">
      <c r="A421" s="34"/>
      <c r="B421" s="34"/>
      <c r="C421" s="34"/>
      <c r="D421" s="34"/>
      <c r="E421" s="34"/>
    </row>
    <row r="422">
      <c r="A422" s="34"/>
      <c r="B422" s="34"/>
      <c r="C422" s="34"/>
      <c r="D422" s="34"/>
      <c r="E422" s="34"/>
    </row>
    <row r="423">
      <c r="A423" s="34"/>
      <c r="B423" s="34"/>
      <c r="C423" s="34"/>
      <c r="D423" s="34"/>
      <c r="E423" s="34"/>
    </row>
    <row r="424">
      <c r="A424" s="34"/>
      <c r="B424" s="34"/>
      <c r="C424" s="34"/>
      <c r="D424" s="34"/>
      <c r="E424" s="34"/>
    </row>
    <row r="425">
      <c r="A425" s="34"/>
      <c r="B425" s="34"/>
      <c r="C425" s="34"/>
      <c r="D425" s="34"/>
      <c r="E425" s="34"/>
    </row>
    <row r="426">
      <c r="A426" s="34"/>
      <c r="B426" s="34"/>
      <c r="C426" s="34"/>
      <c r="D426" s="34"/>
      <c r="E426" s="34"/>
    </row>
    <row r="427">
      <c r="A427" s="34"/>
      <c r="B427" s="34"/>
      <c r="C427" s="34"/>
      <c r="D427" s="34"/>
      <c r="E427" s="34"/>
    </row>
    <row r="428">
      <c r="A428" s="34"/>
      <c r="B428" s="34"/>
      <c r="C428" s="34"/>
      <c r="D428" s="34"/>
      <c r="E428" s="34"/>
    </row>
    <row r="429">
      <c r="A429" s="34"/>
      <c r="B429" s="34"/>
      <c r="C429" s="34"/>
      <c r="D429" s="34"/>
      <c r="E429" s="34"/>
    </row>
    <row r="430">
      <c r="A430" s="34"/>
      <c r="B430" s="34"/>
      <c r="C430" s="34"/>
      <c r="D430" s="34"/>
      <c r="E430" s="34"/>
    </row>
    <row r="431">
      <c r="A431" s="34"/>
      <c r="B431" s="34"/>
      <c r="C431" s="34"/>
      <c r="D431" s="34"/>
      <c r="E431" s="34"/>
    </row>
    <row r="432">
      <c r="A432" s="34"/>
      <c r="B432" s="34"/>
      <c r="C432" s="34"/>
      <c r="D432" s="34"/>
      <c r="E432" s="34"/>
    </row>
    <row r="433">
      <c r="A433" s="34"/>
      <c r="B433" s="34"/>
      <c r="C433" s="34"/>
      <c r="D433" s="34"/>
      <c r="E433" s="34"/>
    </row>
    <row r="434">
      <c r="A434" s="34"/>
      <c r="B434" s="34"/>
      <c r="C434" s="34"/>
      <c r="D434" s="34"/>
      <c r="E434" s="34"/>
    </row>
    <row r="435">
      <c r="A435" s="34"/>
      <c r="B435" s="34"/>
      <c r="C435" s="34"/>
      <c r="D435" s="34"/>
      <c r="E435" s="34"/>
    </row>
    <row r="436">
      <c r="A436" s="34"/>
      <c r="B436" s="34"/>
      <c r="C436" s="34"/>
      <c r="D436" s="34"/>
      <c r="E436" s="34"/>
    </row>
    <row r="437">
      <c r="A437" s="34"/>
      <c r="B437" s="34"/>
      <c r="C437" s="34"/>
      <c r="D437" s="34"/>
      <c r="E437" s="34"/>
    </row>
    <row r="438">
      <c r="A438" s="34"/>
      <c r="B438" s="34"/>
      <c r="C438" s="34"/>
      <c r="D438" s="34"/>
      <c r="E438" s="34"/>
    </row>
    <row r="439">
      <c r="A439" s="34"/>
      <c r="B439" s="34"/>
      <c r="C439" s="34"/>
      <c r="D439" s="34"/>
      <c r="E439" s="34"/>
    </row>
    <row r="440">
      <c r="A440" s="34"/>
      <c r="B440" s="34"/>
      <c r="C440" s="34"/>
      <c r="D440" s="34"/>
      <c r="E440" s="34"/>
    </row>
    <row r="441">
      <c r="A441" s="34"/>
      <c r="B441" s="34"/>
      <c r="C441" s="34"/>
      <c r="D441" s="34"/>
      <c r="E441" s="34"/>
    </row>
    <row r="442">
      <c r="A442" s="34"/>
      <c r="B442" s="34"/>
      <c r="C442" s="34"/>
      <c r="D442" s="34"/>
      <c r="E442" s="34"/>
    </row>
    <row r="443">
      <c r="A443" s="34"/>
      <c r="B443" s="34"/>
      <c r="C443" s="34"/>
      <c r="D443" s="34"/>
      <c r="E443" s="34"/>
    </row>
    <row r="444">
      <c r="A444" s="34"/>
      <c r="B444" s="34"/>
      <c r="C444" s="34"/>
      <c r="D444" s="34"/>
      <c r="E444" s="34"/>
    </row>
    <row r="445">
      <c r="A445" s="34"/>
      <c r="B445" s="34"/>
      <c r="C445" s="34"/>
      <c r="D445" s="34"/>
      <c r="E445" s="34"/>
    </row>
    <row r="446">
      <c r="A446" s="34"/>
      <c r="B446" s="34"/>
      <c r="C446" s="34"/>
      <c r="D446" s="34"/>
      <c r="E446" s="34"/>
    </row>
    <row r="447">
      <c r="A447" s="34"/>
      <c r="B447" s="34"/>
      <c r="C447" s="34"/>
      <c r="D447" s="34"/>
      <c r="E447" s="34"/>
    </row>
    <row r="448">
      <c r="A448" s="34"/>
      <c r="B448" s="34"/>
      <c r="C448" s="34"/>
      <c r="D448" s="34"/>
      <c r="E448" s="34"/>
    </row>
    <row r="449">
      <c r="A449" s="34"/>
      <c r="B449" s="34"/>
      <c r="C449" s="34"/>
      <c r="D449" s="34"/>
      <c r="E449" s="34"/>
    </row>
    <row r="450">
      <c r="A450" s="34"/>
      <c r="B450" s="34"/>
      <c r="C450" s="34"/>
      <c r="D450" s="34"/>
      <c r="E450" s="34"/>
    </row>
    <row r="451">
      <c r="A451" s="34"/>
      <c r="B451" s="34"/>
      <c r="C451" s="34"/>
      <c r="D451" s="34"/>
      <c r="E451" s="34"/>
    </row>
    <row r="452">
      <c r="A452" s="34"/>
      <c r="B452" s="34"/>
      <c r="C452" s="34"/>
      <c r="D452" s="34"/>
      <c r="E452" s="34"/>
    </row>
    <row r="453">
      <c r="A453" s="34"/>
      <c r="B453" s="34"/>
      <c r="C453" s="34"/>
      <c r="D453" s="34"/>
      <c r="E453" s="34"/>
    </row>
    <row r="454">
      <c r="A454" s="34"/>
      <c r="B454" s="34"/>
      <c r="C454" s="34"/>
      <c r="D454" s="34"/>
      <c r="E454" s="34"/>
    </row>
    <row r="455">
      <c r="A455" s="34"/>
      <c r="B455" s="34"/>
      <c r="C455" s="34"/>
      <c r="D455" s="34"/>
      <c r="E455" s="34"/>
    </row>
    <row r="456">
      <c r="A456" s="34"/>
      <c r="B456" s="34"/>
      <c r="C456" s="34"/>
      <c r="D456" s="34"/>
      <c r="E456" s="34"/>
    </row>
    <row r="457">
      <c r="A457" s="34"/>
      <c r="B457" s="34"/>
      <c r="C457" s="34"/>
      <c r="D457" s="34"/>
      <c r="E457" s="34"/>
    </row>
    <row r="458">
      <c r="A458" s="34"/>
      <c r="B458" s="34"/>
      <c r="C458" s="34"/>
      <c r="D458" s="34"/>
      <c r="E458" s="34"/>
    </row>
    <row r="459">
      <c r="A459" s="34"/>
      <c r="B459" s="34"/>
      <c r="C459" s="34"/>
      <c r="D459" s="34"/>
      <c r="E459" s="34"/>
    </row>
    <row r="460">
      <c r="A460" s="34"/>
      <c r="B460" s="34"/>
      <c r="C460" s="34"/>
      <c r="D460" s="34"/>
      <c r="E460" s="34"/>
    </row>
    <row r="461">
      <c r="A461" s="34"/>
      <c r="B461" s="34"/>
      <c r="C461" s="34"/>
      <c r="D461" s="34"/>
      <c r="E461" s="34"/>
    </row>
    <row r="462">
      <c r="A462" s="34"/>
      <c r="B462" s="34"/>
      <c r="C462" s="34"/>
      <c r="D462" s="34"/>
      <c r="E462" s="34"/>
    </row>
    <row r="463">
      <c r="A463" s="34"/>
      <c r="B463" s="34"/>
      <c r="C463" s="34"/>
      <c r="D463" s="34"/>
      <c r="E463" s="34"/>
    </row>
    <row r="464">
      <c r="A464" s="34"/>
      <c r="B464" s="34"/>
      <c r="C464" s="34"/>
      <c r="D464" s="34"/>
      <c r="E464" s="34"/>
    </row>
    <row r="465">
      <c r="A465" s="34"/>
      <c r="B465" s="34"/>
      <c r="C465" s="34"/>
      <c r="D465" s="34"/>
      <c r="E465" s="34"/>
    </row>
    <row r="466">
      <c r="A466" s="34"/>
      <c r="B466" s="34"/>
      <c r="C466" s="34"/>
      <c r="D466" s="34"/>
      <c r="E466" s="34"/>
    </row>
    <row r="467">
      <c r="A467" s="34"/>
      <c r="B467" s="34"/>
      <c r="C467" s="34"/>
      <c r="D467" s="34"/>
      <c r="E467" s="34"/>
    </row>
    <row r="468">
      <c r="A468" s="34"/>
      <c r="B468" s="34"/>
      <c r="C468" s="34"/>
      <c r="D468" s="34"/>
      <c r="E468" s="34"/>
    </row>
    <row r="469">
      <c r="A469" s="34"/>
      <c r="B469" s="34"/>
      <c r="C469" s="34"/>
      <c r="D469" s="34"/>
      <c r="E469" s="34"/>
    </row>
    <row r="470">
      <c r="A470" s="34"/>
      <c r="B470" s="34"/>
      <c r="C470" s="34"/>
      <c r="D470" s="34"/>
      <c r="E470" s="34"/>
    </row>
    <row r="471">
      <c r="A471" s="34"/>
      <c r="B471" s="34"/>
      <c r="C471" s="34"/>
      <c r="D471" s="34"/>
      <c r="E471" s="34"/>
    </row>
    <row r="472">
      <c r="A472" s="34"/>
      <c r="B472" s="34"/>
      <c r="C472" s="34"/>
      <c r="D472" s="34"/>
      <c r="E472" s="34"/>
    </row>
    <row r="473">
      <c r="A473" s="34"/>
      <c r="B473" s="34"/>
      <c r="C473" s="34"/>
      <c r="D473" s="34"/>
      <c r="E473" s="34"/>
    </row>
    <row r="474">
      <c r="A474" s="34"/>
      <c r="B474" s="34"/>
      <c r="C474" s="34"/>
      <c r="D474" s="34"/>
      <c r="E474" s="34"/>
    </row>
    <row r="475">
      <c r="A475" s="34"/>
      <c r="B475" s="34"/>
      <c r="C475" s="34"/>
      <c r="D475" s="34"/>
      <c r="E475" s="34"/>
    </row>
    <row r="476">
      <c r="A476" s="34"/>
      <c r="B476" s="34"/>
      <c r="C476" s="34"/>
      <c r="D476" s="34"/>
      <c r="E476" s="34"/>
    </row>
    <row r="477">
      <c r="A477" s="34"/>
      <c r="B477" s="34"/>
      <c r="C477" s="34"/>
      <c r="D477" s="34"/>
      <c r="E477" s="34"/>
    </row>
    <row r="478">
      <c r="A478" s="34"/>
      <c r="B478" s="34"/>
      <c r="C478" s="34"/>
      <c r="D478" s="34"/>
      <c r="E478" s="34"/>
    </row>
    <row r="479">
      <c r="A479" s="34"/>
      <c r="B479" s="34"/>
      <c r="C479" s="34"/>
      <c r="D479" s="34"/>
      <c r="E479" s="34"/>
    </row>
    <row r="480">
      <c r="A480" s="34"/>
      <c r="B480" s="34"/>
      <c r="C480" s="34"/>
      <c r="D480" s="34"/>
      <c r="E480" s="34"/>
    </row>
    <row r="481">
      <c r="A481" s="34"/>
      <c r="B481" s="34"/>
      <c r="C481" s="34"/>
      <c r="D481" s="34"/>
      <c r="E481" s="34"/>
    </row>
    <row r="482">
      <c r="A482" s="34"/>
      <c r="B482" s="34"/>
      <c r="C482" s="34"/>
      <c r="D482" s="34"/>
      <c r="E482" s="34"/>
    </row>
    <row r="483">
      <c r="A483" s="34"/>
      <c r="B483" s="34"/>
      <c r="C483" s="34"/>
      <c r="D483" s="34"/>
      <c r="E483" s="34"/>
    </row>
    <row r="484">
      <c r="A484" s="34"/>
      <c r="B484" s="34"/>
      <c r="C484" s="34"/>
      <c r="D484" s="34"/>
      <c r="E484" s="34"/>
    </row>
    <row r="485">
      <c r="A485" s="34"/>
      <c r="B485" s="34"/>
      <c r="C485" s="34"/>
      <c r="D485" s="34"/>
      <c r="E485" s="34"/>
    </row>
    <row r="486">
      <c r="A486" s="34"/>
      <c r="B486" s="34"/>
      <c r="C486" s="34"/>
      <c r="D486" s="34"/>
      <c r="E486" s="34"/>
    </row>
    <row r="487">
      <c r="A487" s="34"/>
      <c r="B487" s="34"/>
      <c r="C487" s="34"/>
      <c r="D487" s="34"/>
      <c r="E487" s="34"/>
    </row>
    <row r="488">
      <c r="A488" s="34"/>
      <c r="B488" s="34"/>
      <c r="C488" s="34"/>
      <c r="D488" s="34"/>
      <c r="E488" s="34"/>
    </row>
    <row r="489">
      <c r="A489" s="34"/>
      <c r="B489" s="34"/>
      <c r="C489" s="34"/>
      <c r="D489" s="34"/>
      <c r="E489" s="34"/>
    </row>
    <row r="490">
      <c r="A490" s="34"/>
      <c r="B490" s="34"/>
      <c r="C490" s="34"/>
      <c r="D490" s="34"/>
      <c r="E490" s="34"/>
    </row>
    <row r="491">
      <c r="A491" s="34"/>
      <c r="B491" s="34"/>
      <c r="C491" s="34"/>
      <c r="D491" s="34"/>
      <c r="E491" s="34"/>
    </row>
    <row r="492">
      <c r="A492" s="34"/>
      <c r="B492" s="34"/>
      <c r="C492" s="34"/>
      <c r="D492" s="34"/>
      <c r="E492" s="34"/>
    </row>
    <row r="493">
      <c r="A493" s="34"/>
      <c r="B493" s="34"/>
      <c r="C493" s="34"/>
      <c r="D493" s="34"/>
      <c r="E493" s="34"/>
    </row>
    <row r="494">
      <c r="A494" s="34"/>
      <c r="B494" s="34"/>
      <c r="C494" s="34"/>
      <c r="D494" s="34"/>
      <c r="E494" s="34"/>
    </row>
    <row r="495">
      <c r="A495" s="34"/>
      <c r="B495" s="34"/>
      <c r="C495" s="34"/>
      <c r="D495" s="34"/>
      <c r="E495" s="34"/>
    </row>
    <row r="496">
      <c r="A496" s="34"/>
      <c r="B496" s="34"/>
      <c r="C496" s="34"/>
      <c r="D496" s="34"/>
      <c r="E496" s="34"/>
    </row>
    <row r="497">
      <c r="A497" s="34"/>
      <c r="B497" s="34"/>
      <c r="C497" s="34"/>
      <c r="D497" s="34"/>
      <c r="E497" s="34"/>
    </row>
    <row r="498">
      <c r="A498" s="34"/>
      <c r="B498" s="34"/>
      <c r="C498" s="34"/>
      <c r="D498" s="34"/>
      <c r="E498" s="34"/>
    </row>
    <row r="499">
      <c r="A499" s="34"/>
      <c r="B499" s="34"/>
      <c r="C499" s="34"/>
      <c r="D499" s="34"/>
      <c r="E499" s="34"/>
    </row>
    <row r="500">
      <c r="A500" s="34"/>
      <c r="B500" s="34"/>
      <c r="C500" s="34"/>
      <c r="D500" s="34"/>
      <c r="E500" s="34"/>
    </row>
    <row r="501">
      <c r="A501" s="34"/>
      <c r="B501" s="34"/>
      <c r="C501" s="34"/>
      <c r="D501" s="34"/>
      <c r="E501" s="34"/>
    </row>
    <row r="502">
      <c r="A502" s="34"/>
      <c r="B502" s="34"/>
      <c r="C502" s="34"/>
      <c r="D502" s="34"/>
      <c r="E502" s="34"/>
    </row>
    <row r="503">
      <c r="A503" s="34"/>
      <c r="B503" s="34"/>
      <c r="C503" s="34"/>
      <c r="D503" s="34"/>
      <c r="E503" s="34"/>
    </row>
    <row r="504">
      <c r="A504" s="34"/>
      <c r="B504" s="34"/>
      <c r="C504" s="34"/>
      <c r="D504" s="34"/>
      <c r="E504" s="34"/>
    </row>
    <row r="505">
      <c r="A505" s="34"/>
      <c r="B505" s="34"/>
      <c r="C505" s="34"/>
      <c r="D505" s="34"/>
      <c r="E505" s="34"/>
    </row>
    <row r="506">
      <c r="A506" s="34"/>
      <c r="B506" s="34"/>
      <c r="C506" s="34"/>
      <c r="D506" s="34"/>
      <c r="E506" s="34"/>
    </row>
    <row r="507">
      <c r="A507" s="34"/>
      <c r="B507" s="34"/>
      <c r="C507" s="34"/>
      <c r="D507" s="34"/>
      <c r="E507" s="34"/>
    </row>
    <row r="508">
      <c r="A508" s="34"/>
      <c r="B508" s="34"/>
      <c r="C508" s="34"/>
      <c r="D508" s="34"/>
      <c r="E508" s="34"/>
    </row>
    <row r="509">
      <c r="A509" s="34"/>
      <c r="B509" s="34"/>
      <c r="C509" s="34"/>
      <c r="D509" s="34"/>
      <c r="E509" s="34"/>
    </row>
    <row r="510">
      <c r="A510" s="34"/>
      <c r="B510" s="34"/>
      <c r="C510" s="34"/>
      <c r="D510" s="34"/>
      <c r="E510" s="34"/>
    </row>
    <row r="511">
      <c r="A511" s="34"/>
      <c r="B511" s="34"/>
      <c r="C511" s="34"/>
      <c r="D511" s="34"/>
      <c r="E511" s="34"/>
    </row>
    <row r="512">
      <c r="A512" s="34"/>
      <c r="B512" s="34"/>
      <c r="C512" s="34"/>
      <c r="D512" s="34"/>
      <c r="E512" s="34"/>
    </row>
    <row r="513">
      <c r="A513" s="34"/>
      <c r="B513" s="34"/>
      <c r="C513" s="34"/>
      <c r="D513" s="34"/>
      <c r="E513" s="34"/>
    </row>
    <row r="514">
      <c r="A514" s="34"/>
      <c r="B514" s="34"/>
      <c r="C514" s="34"/>
      <c r="D514" s="34"/>
      <c r="E514" s="34"/>
    </row>
    <row r="515">
      <c r="A515" s="34"/>
      <c r="B515" s="34"/>
      <c r="C515" s="34"/>
      <c r="D515" s="34"/>
      <c r="E515" s="34"/>
    </row>
    <row r="516">
      <c r="A516" s="34"/>
      <c r="B516" s="34"/>
      <c r="C516" s="34"/>
      <c r="D516" s="34"/>
      <c r="E516" s="34"/>
    </row>
    <row r="517">
      <c r="A517" s="34"/>
      <c r="B517" s="34"/>
      <c r="C517" s="34"/>
      <c r="D517" s="34"/>
      <c r="E517" s="34"/>
    </row>
    <row r="518">
      <c r="A518" s="34"/>
      <c r="B518" s="34"/>
      <c r="C518" s="34"/>
      <c r="D518" s="34"/>
      <c r="E518" s="34"/>
    </row>
    <row r="519">
      <c r="A519" s="34"/>
      <c r="B519" s="34"/>
      <c r="C519" s="34"/>
      <c r="D519" s="34"/>
      <c r="E519" s="34"/>
    </row>
    <row r="520">
      <c r="A520" s="34"/>
      <c r="B520" s="34"/>
      <c r="C520" s="34"/>
      <c r="D520" s="34"/>
      <c r="E520" s="34"/>
    </row>
    <row r="521">
      <c r="A521" s="34"/>
      <c r="B521" s="34"/>
      <c r="C521" s="34"/>
      <c r="D521" s="34"/>
      <c r="E521" s="34"/>
    </row>
    <row r="522">
      <c r="A522" s="34"/>
      <c r="B522" s="34"/>
      <c r="C522" s="34"/>
      <c r="D522" s="34"/>
      <c r="E522" s="34"/>
    </row>
    <row r="523">
      <c r="A523" s="34"/>
      <c r="B523" s="34"/>
      <c r="C523" s="34"/>
      <c r="D523" s="34"/>
      <c r="E523" s="34"/>
    </row>
    <row r="524">
      <c r="A524" s="34"/>
      <c r="B524" s="34"/>
      <c r="C524" s="34"/>
      <c r="D524" s="34"/>
      <c r="E524" s="34"/>
    </row>
    <row r="525">
      <c r="A525" s="34"/>
      <c r="B525" s="34"/>
      <c r="C525" s="34"/>
      <c r="D525" s="34"/>
      <c r="E525" s="34"/>
    </row>
    <row r="526">
      <c r="A526" s="34"/>
      <c r="B526" s="34"/>
      <c r="C526" s="34"/>
      <c r="D526" s="34"/>
      <c r="E526" s="34"/>
    </row>
    <row r="527">
      <c r="A527" s="34"/>
      <c r="B527" s="34"/>
      <c r="C527" s="34"/>
      <c r="D527" s="34"/>
      <c r="E527" s="34"/>
    </row>
    <row r="528">
      <c r="A528" s="34"/>
      <c r="B528" s="34"/>
      <c r="C528" s="34"/>
      <c r="D528" s="34"/>
      <c r="E528" s="34"/>
    </row>
    <row r="529">
      <c r="A529" s="34"/>
      <c r="B529" s="34"/>
      <c r="C529" s="34"/>
      <c r="D529" s="34"/>
      <c r="E529" s="34"/>
    </row>
    <row r="530">
      <c r="A530" s="34"/>
      <c r="B530" s="34"/>
      <c r="C530" s="34"/>
      <c r="D530" s="34"/>
      <c r="E530" s="34"/>
    </row>
    <row r="531">
      <c r="A531" s="34"/>
      <c r="B531" s="34"/>
      <c r="C531" s="34"/>
      <c r="D531" s="34"/>
      <c r="E531" s="34"/>
    </row>
    <row r="532">
      <c r="A532" s="34"/>
      <c r="B532" s="34"/>
      <c r="C532" s="34"/>
      <c r="D532" s="34"/>
      <c r="E532" s="34"/>
    </row>
    <row r="533">
      <c r="A533" s="34"/>
      <c r="B533" s="34"/>
      <c r="C533" s="34"/>
      <c r="D533" s="34"/>
      <c r="E533" s="34"/>
    </row>
    <row r="534">
      <c r="A534" s="34"/>
      <c r="B534" s="34"/>
      <c r="C534" s="34"/>
      <c r="D534" s="34"/>
      <c r="E534" s="34"/>
    </row>
    <row r="535">
      <c r="A535" s="34"/>
      <c r="B535" s="34"/>
      <c r="C535" s="34"/>
      <c r="D535" s="34"/>
      <c r="E535" s="34"/>
    </row>
    <row r="536">
      <c r="A536" s="34"/>
      <c r="B536" s="34"/>
      <c r="C536" s="34"/>
      <c r="D536" s="34"/>
      <c r="E536" s="34"/>
    </row>
    <row r="537">
      <c r="A537" s="34"/>
      <c r="B537" s="34"/>
      <c r="C537" s="34"/>
      <c r="D537" s="34"/>
      <c r="E537" s="34"/>
    </row>
    <row r="538">
      <c r="A538" s="34"/>
      <c r="B538" s="34"/>
      <c r="C538" s="34"/>
      <c r="D538" s="34"/>
      <c r="E538" s="34"/>
    </row>
    <row r="539">
      <c r="A539" s="34"/>
      <c r="B539" s="34"/>
      <c r="C539" s="34"/>
      <c r="D539" s="34"/>
      <c r="E539" s="34"/>
    </row>
    <row r="540">
      <c r="A540" s="34"/>
      <c r="B540" s="34"/>
      <c r="C540" s="34"/>
      <c r="D540" s="34"/>
      <c r="E540" s="34"/>
    </row>
    <row r="541">
      <c r="A541" s="34"/>
      <c r="B541" s="34"/>
      <c r="C541" s="34"/>
      <c r="D541" s="34"/>
      <c r="E541" s="34"/>
    </row>
    <row r="542">
      <c r="A542" s="34"/>
      <c r="B542" s="34"/>
      <c r="C542" s="34"/>
      <c r="D542" s="34"/>
      <c r="E542" s="34"/>
    </row>
    <row r="543">
      <c r="A543" s="34"/>
      <c r="B543" s="34"/>
      <c r="C543" s="34"/>
      <c r="D543" s="34"/>
      <c r="E543" s="34"/>
    </row>
    <row r="544">
      <c r="A544" s="34"/>
      <c r="B544" s="34"/>
      <c r="C544" s="34"/>
      <c r="D544" s="34"/>
      <c r="E544" s="34"/>
    </row>
    <row r="545">
      <c r="A545" s="34"/>
      <c r="B545" s="34"/>
      <c r="C545" s="34"/>
      <c r="D545" s="34"/>
      <c r="E545" s="34"/>
    </row>
    <row r="546">
      <c r="A546" s="34"/>
      <c r="B546" s="34"/>
      <c r="C546" s="34"/>
      <c r="D546" s="34"/>
      <c r="E546" s="34"/>
    </row>
    <row r="547">
      <c r="A547" s="34"/>
      <c r="B547" s="34"/>
      <c r="C547" s="34"/>
      <c r="D547" s="34"/>
      <c r="E547" s="34"/>
    </row>
    <row r="548">
      <c r="A548" s="34"/>
      <c r="B548" s="34"/>
      <c r="C548" s="34"/>
      <c r="D548" s="34"/>
      <c r="E548" s="34"/>
    </row>
    <row r="549">
      <c r="A549" s="34"/>
      <c r="B549" s="34"/>
      <c r="C549" s="34"/>
      <c r="D549" s="34"/>
      <c r="E549" s="34"/>
    </row>
    <row r="550">
      <c r="A550" s="34"/>
      <c r="B550" s="34"/>
      <c r="C550" s="34"/>
      <c r="D550" s="34"/>
      <c r="E550" s="34"/>
    </row>
    <row r="551">
      <c r="A551" s="34"/>
      <c r="B551" s="34"/>
      <c r="C551" s="34"/>
      <c r="D551" s="34"/>
      <c r="E551" s="34"/>
    </row>
    <row r="552">
      <c r="A552" s="34"/>
      <c r="B552" s="34"/>
      <c r="C552" s="34"/>
      <c r="D552" s="34"/>
      <c r="E552" s="34"/>
    </row>
    <row r="553">
      <c r="A553" s="34"/>
      <c r="B553" s="34"/>
      <c r="C553" s="34"/>
      <c r="D553" s="34"/>
      <c r="E553" s="34"/>
    </row>
    <row r="554">
      <c r="A554" s="34"/>
      <c r="B554" s="34"/>
      <c r="C554" s="34"/>
      <c r="D554" s="34"/>
      <c r="E554" s="34"/>
    </row>
    <row r="555">
      <c r="A555" s="34"/>
      <c r="B555" s="34"/>
      <c r="C555" s="34"/>
      <c r="D555" s="34"/>
      <c r="E555" s="34"/>
    </row>
    <row r="556">
      <c r="A556" s="34"/>
      <c r="B556" s="34"/>
      <c r="C556" s="34"/>
      <c r="D556" s="34"/>
      <c r="E556" s="34"/>
    </row>
    <row r="557">
      <c r="A557" s="34"/>
      <c r="B557" s="34"/>
      <c r="C557" s="34"/>
      <c r="D557" s="34"/>
      <c r="E557" s="34"/>
    </row>
    <row r="558">
      <c r="A558" s="34"/>
      <c r="B558" s="34"/>
      <c r="C558" s="34"/>
      <c r="D558" s="34"/>
      <c r="E558" s="34"/>
    </row>
    <row r="559">
      <c r="A559" s="34"/>
      <c r="B559" s="34"/>
      <c r="C559" s="34"/>
      <c r="D559" s="34"/>
      <c r="E559" s="34"/>
    </row>
    <row r="560">
      <c r="A560" s="34"/>
      <c r="B560" s="34"/>
      <c r="C560" s="34"/>
      <c r="D560" s="34"/>
      <c r="E560" s="34"/>
    </row>
    <row r="561">
      <c r="A561" s="34"/>
      <c r="B561" s="34"/>
      <c r="C561" s="34"/>
      <c r="D561" s="34"/>
      <c r="E561" s="34"/>
    </row>
    <row r="562">
      <c r="A562" s="34"/>
      <c r="B562" s="34"/>
      <c r="C562" s="34"/>
      <c r="D562" s="34"/>
      <c r="E562" s="34"/>
    </row>
    <row r="563">
      <c r="A563" s="34"/>
      <c r="B563" s="34"/>
      <c r="C563" s="34"/>
      <c r="D563" s="34"/>
      <c r="E563" s="34"/>
    </row>
    <row r="564">
      <c r="A564" s="34"/>
      <c r="B564" s="34"/>
      <c r="C564" s="34"/>
      <c r="D564" s="34"/>
      <c r="E564" s="34"/>
    </row>
    <row r="565">
      <c r="A565" s="34"/>
      <c r="B565" s="34"/>
      <c r="C565" s="34"/>
      <c r="D565" s="34"/>
      <c r="E565" s="34"/>
    </row>
    <row r="566">
      <c r="A566" s="34"/>
      <c r="B566" s="34"/>
      <c r="C566" s="34"/>
      <c r="D566" s="34"/>
      <c r="E566" s="34"/>
    </row>
    <row r="567">
      <c r="A567" s="34"/>
      <c r="B567" s="34"/>
      <c r="C567" s="34"/>
      <c r="D567" s="34"/>
      <c r="E567" s="34"/>
    </row>
    <row r="568">
      <c r="A568" s="34"/>
      <c r="B568" s="34"/>
      <c r="C568" s="34"/>
      <c r="D568" s="34"/>
      <c r="E568" s="34"/>
    </row>
    <row r="569">
      <c r="A569" s="34"/>
      <c r="B569" s="34"/>
      <c r="C569" s="34"/>
      <c r="D569" s="34"/>
      <c r="E569" s="34"/>
    </row>
    <row r="570">
      <c r="A570" s="34"/>
      <c r="B570" s="34"/>
      <c r="C570" s="34"/>
      <c r="D570" s="34"/>
      <c r="E570" s="34"/>
    </row>
    <row r="571">
      <c r="A571" s="34"/>
      <c r="B571" s="34"/>
      <c r="C571" s="34"/>
      <c r="D571" s="34"/>
      <c r="E571" s="34"/>
    </row>
    <row r="572">
      <c r="A572" s="34"/>
      <c r="B572" s="34"/>
      <c r="C572" s="34"/>
      <c r="D572" s="34"/>
      <c r="E572" s="34"/>
    </row>
    <row r="573">
      <c r="A573" s="34"/>
      <c r="B573" s="34"/>
      <c r="C573" s="34"/>
      <c r="D573" s="34"/>
      <c r="E573" s="34"/>
    </row>
    <row r="574">
      <c r="A574" s="34"/>
      <c r="B574" s="34"/>
      <c r="C574" s="34"/>
      <c r="D574" s="34"/>
      <c r="E574" s="34"/>
    </row>
    <row r="575">
      <c r="A575" s="34"/>
      <c r="B575" s="34"/>
      <c r="C575" s="34"/>
      <c r="D575" s="34"/>
      <c r="E575" s="34"/>
    </row>
    <row r="576">
      <c r="A576" s="34"/>
      <c r="B576" s="34"/>
      <c r="C576" s="34"/>
      <c r="D576" s="34"/>
      <c r="E576" s="34"/>
    </row>
    <row r="577">
      <c r="A577" s="34"/>
      <c r="B577" s="34"/>
      <c r="C577" s="34"/>
      <c r="D577" s="34"/>
      <c r="E577" s="34"/>
    </row>
    <row r="578">
      <c r="A578" s="34"/>
      <c r="B578" s="34"/>
      <c r="C578" s="34"/>
      <c r="D578" s="34"/>
      <c r="E578" s="34"/>
    </row>
    <row r="579">
      <c r="A579" s="34"/>
      <c r="B579" s="34"/>
      <c r="C579" s="34"/>
      <c r="D579" s="34"/>
      <c r="E579" s="34"/>
    </row>
    <row r="580">
      <c r="A580" s="34"/>
      <c r="B580" s="34"/>
      <c r="C580" s="34"/>
      <c r="D580" s="34"/>
      <c r="E580" s="34"/>
    </row>
    <row r="581">
      <c r="A581" s="34"/>
      <c r="B581" s="34"/>
      <c r="C581" s="34"/>
      <c r="D581" s="34"/>
      <c r="E581" s="34"/>
    </row>
    <row r="582">
      <c r="A582" s="34"/>
      <c r="B582" s="34"/>
      <c r="C582" s="34"/>
      <c r="D582" s="34"/>
      <c r="E582" s="34"/>
    </row>
    <row r="583">
      <c r="A583" s="34"/>
      <c r="B583" s="34"/>
      <c r="C583" s="34"/>
      <c r="D583" s="34"/>
      <c r="E583" s="34"/>
    </row>
    <row r="584">
      <c r="A584" s="34"/>
      <c r="B584" s="34"/>
      <c r="C584" s="34"/>
      <c r="D584" s="34"/>
      <c r="E584" s="34"/>
    </row>
    <row r="585">
      <c r="A585" s="34"/>
      <c r="B585" s="34"/>
      <c r="C585" s="34"/>
      <c r="D585" s="34"/>
      <c r="E585" s="34"/>
    </row>
    <row r="586">
      <c r="A586" s="34"/>
      <c r="B586" s="34"/>
      <c r="C586" s="34"/>
      <c r="D586" s="34"/>
      <c r="E586" s="34"/>
    </row>
    <row r="587">
      <c r="A587" s="34"/>
      <c r="B587" s="34"/>
      <c r="C587" s="34"/>
      <c r="D587" s="34"/>
      <c r="E587" s="34"/>
    </row>
    <row r="588">
      <c r="A588" s="34"/>
      <c r="B588" s="34"/>
      <c r="C588" s="34"/>
      <c r="D588" s="34"/>
      <c r="E588" s="34"/>
    </row>
    <row r="589">
      <c r="A589" s="34"/>
      <c r="B589" s="34"/>
      <c r="C589" s="34"/>
      <c r="D589" s="34"/>
      <c r="E589" s="34"/>
    </row>
    <row r="590">
      <c r="A590" s="34"/>
      <c r="B590" s="34"/>
      <c r="C590" s="34"/>
      <c r="D590" s="34"/>
      <c r="E590" s="34"/>
    </row>
    <row r="591">
      <c r="A591" s="34"/>
      <c r="B591" s="34"/>
      <c r="C591" s="34"/>
      <c r="D591" s="34"/>
      <c r="E591" s="34"/>
    </row>
    <row r="592">
      <c r="A592" s="34"/>
      <c r="B592" s="34"/>
      <c r="C592" s="34"/>
      <c r="D592" s="34"/>
      <c r="E592" s="34"/>
    </row>
    <row r="593">
      <c r="A593" s="34"/>
      <c r="B593" s="34"/>
      <c r="C593" s="34"/>
      <c r="D593" s="34"/>
      <c r="E593" s="34"/>
    </row>
    <row r="594">
      <c r="A594" s="34"/>
      <c r="B594" s="34"/>
      <c r="C594" s="34"/>
      <c r="D594" s="34"/>
      <c r="E594" s="34"/>
    </row>
    <row r="595">
      <c r="A595" s="34"/>
      <c r="B595" s="34"/>
      <c r="C595" s="34"/>
      <c r="D595" s="34"/>
      <c r="E595" s="34"/>
    </row>
    <row r="596">
      <c r="A596" s="34"/>
      <c r="B596" s="34"/>
      <c r="C596" s="34"/>
      <c r="D596" s="34"/>
      <c r="E596" s="34"/>
    </row>
    <row r="597">
      <c r="A597" s="34"/>
      <c r="B597" s="34"/>
      <c r="C597" s="34"/>
      <c r="D597" s="34"/>
      <c r="E597" s="34"/>
    </row>
    <row r="598">
      <c r="A598" s="34"/>
      <c r="B598" s="34"/>
      <c r="C598" s="34"/>
      <c r="D598" s="34"/>
      <c r="E598" s="34"/>
    </row>
    <row r="599">
      <c r="A599" s="34"/>
      <c r="B599" s="34"/>
      <c r="C599" s="34"/>
      <c r="D599" s="34"/>
      <c r="E599" s="34"/>
    </row>
    <row r="600">
      <c r="A600" s="34"/>
      <c r="B600" s="34"/>
      <c r="C600" s="34"/>
      <c r="D600" s="34"/>
      <c r="E600" s="34"/>
    </row>
    <row r="601">
      <c r="A601" s="34"/>
      <c r="B601" s="34"/>
      <c r="C601" s="34"/>
      <c r="D601" s="34"/>
      <c r="E601" s="34"/>
    </row>
    <row r="602">
      <c r="A602" s="34"/>
      <c r="B602" s="34"/>
      <c r="C602" s="34"/>
      <c r="D602" s="34"/>
      <c r="E602" s="34"/>
    </row>
    <row r="603">
      <c r="A603" s="34"/>
      <c r="B603" s="34"/>
      <c r="C603" s="34"/>
      <c r="D603" s="34"/>
      <c r="E603" s="34"/>
    </row>
    <row r="604">
      <c r="A604" s="34"/>
      <c r="B604" s="34"/>
      <c r="C604" s="34"/>
      <c r="D604" s="34"/>
      <c r="E604" s="34"/>
    </row>
    <row r="605">
      <c r="A605" s="34"/>
      <c r="B605" s="34"/>
      <c r="C605" s="34"/>
      <c r="D605" s="34"/>
      <c r="E605" s="34"/>
    </row>
    <row r="606">
      <c r="A606" s="34"/>
      <c r="B606" s="34"/>
      <c r="C606" s="34"/>
      <c r="D606" s="34"/>
      <c r="E606" s="34"/>
    </row>
    <row r="607">
      <c r="A607" s="34"/>
      <c r="B607" s="34"/>
      <c r="C607" s="34"/>
      <c r="D607" s="34"/>
      <c r="E607" s="34"/>
    </row>
    <row r="608">
      <c r="A608" s="34"/>
      <c r="B608" s="34"/>
      <c r="C608" s="34"/>
      <c r="D608" s="34"/>
      <c r="E608" s="34"/>
    </row>
    <row r="609">
      <c r="A609" s="34"/>
      <c r="B609" s="34"/>
      <c r="C609" s="34"/>
      <c r="D609" s="34"/>
      <c r="E609" s="34"/>
    </row>
    <row r="610">
      <c r="A610" s="34"/>
      <c r="B610" s="34"/>
      <c r="C610" s="34"/>
      <c r="D610" s="34"/>
      <c r="E610" s="34"/>
    </row>
    <row r="611">
      <c r="A611" s="34"/>
      <c r="B611" s="34"/>
      <c r="C611" s="34"/>
      <c r="D611" s="34"/>
      <c r="E611" s="34"/>
    </row>
    <row r="612">
      <c r="A612" s="34"/>
      <c r="B612" s="34"/>
      <c r="C612" s="34"/>
      <c r="D612" s="34"/>
      <c r="E612" s="34"/>
    </row>
    <row r="613">
      <c r="A613" s="34"/>
      <c r="B613" s="34"/>
      <c r="C613" s="34"/>
      <c r="D613" s="34"/>
      <c r="E613" s="34"/>
    </row>
    <row r="614">
      <c r="A614" s="34"/>
      <c r="B614" s="34"/>
      <c r="C614" s="34"/>
      <c r="D614" s="34"/>
      <c r="E614" s="34"/>
    </row>
    <row r="615">
      <c r="A615" s="34"/>
      <c r="B615" s="34"/>
      <c r="C615" s="34"/>
      <c r="D615" s="34"/>
      <c r="E615" s="34"/>
    </row>
    <row r="616">
      <c r="A616" s="34"/>
      <c r="B616" s="34"/>
      <c r="C616" s="34"/>
      <c r="D616" s="34"/>
      <c r="E616" s="34"/>
    </row>
    <row r="617">
      <c r="A617" s="34"/>
      <c r="B617" s="34"/>
      <c r="C617" s="34"/>
      <c r="D617" s="34"/>
      <c r="E617" s="34"/>
    </row>
    <row r="618">
      <c r="A618" s="34"/>
      <c r="B618" s="34"/>
      <c r="C618" s="34"/>
      <c r="D618" s="34"/>
      <c r="E618" s="34"/>
    </row>
    <row r="619">
      <c r="A619" s="34"/>
      <c r="B619" s="34"/>
      <c r="C619" s="34"/>
      <c r="D619" s="34"/>
      <c r="E619" s="34"/>
    </row>
    <row r="620">
      <c r="A620" s="34"/>
      <c r="B620" s="34"/>
      <c r="C620" s="34"/>
      <c r="D620" s="34"/>
      <c r="E620" s="34"/>
    </row>
    <row r="621">
      <c r="A621" s="34"/>
      <c r="B621" s="34"/>
      <c r="C621" s="34"/>
      <c r="D621" s="34"/>
      <c r="E621" s="34"/>
    </row>
    <row r="622">
      <c r="A622" s="34"/>
      <c r="B622" s="34"/>
      <c r="C622" s="34"/>
      <c r="D622" s="34"/>
      <c r="E622" s="34"/>
    </row>
    <row r="623">
      <c r="A623" s="34"/>
      <c r="B623" s="34"/>
      <c r="C623" s="34"/>
      <c r="D623" s="34"/>
      <c r="E623" s="34"/>
    </row>
    <row r="624">
      <c r="A624" s="34"/>
      <c r="B624" s="34"/>
      <c r="C624" s="34"/>
      <c r="D624" s="34"/>
      <c r="E624" s="34"/>
    </row>
    <row r="625">
      <c r="A625" s="34"/>
      <c r="B625" s="34"/>
      <c r="C625" s="34"/>
      <c r="D625" s="34"/>
      <c r="E625" s="34"/>
    </row>
    <row r="626">
      <c r="A626" s="34"/>
      <c r="B626" s="34"/>
      <c r="C626" s="34"/>
      <c r="D626" s="34"/>
      <c r="E626" s="34"/>
    </row>
    <row r="627">
      <c r="A627" s="34"/>
      <c r="B627" s="34"/>
      <c r="C627" s="34"/>
      <c r="D627" s="34"/>
      <c r="E627" s="34"/>
    </row>
    <row r="628">
      <c r="A628" s="34"/>
      <c r="B628" s="34"/>
      <c r="C628" s="34"/>
      <c r="D628" s="34"/>
      <c r="E628" s="34"/>
    </row>
    <row r="629">
      <c r="A629" s="34"/>
      <c r="B629" s="34"/>
      <c r="C629" s="34"/>
      <c r="D629" s="34"/>
      <c r="E629" s="34"/>
    </row>
    <row r="630">
      <c r="A630" s="34"/>
      <c r="B630" s="34"/>
      <c r="C630" s="34"/>
      <c r="D630" s="34"/>
      <c r="E630" s="34"/>
    </row>
    <row r="631">
      <c r="A631" s="34"/>
      <c r="B631" s="34"/>
      <c r="C631" s="34"/>
      <c r="D631" s="34"/>
      <c r="E631" s="34"/>
    </row>
    <row r="632">
      <c r="A632" s="34"/>
      <c r="B632" s="34"/>
      <c r="C632" s="34"/>
      <c r="D632" s="34"/>
      <c r="E632" s="34"/>
    </row>
    <row r="633">
      <c r="A633" s="34"/>
      <c r="B633" s="34"/>
      <c r="C633" s="34"/>
      <c r="D633" s="34"/>
      <c r="E633" s="34"/>
    </row>
    <row r="634">
      <c r="A634" s="34"/>
      <c r="B634" s="34"/>
      <c r="C634" s="34"/>
      <c r="D634" s="34"/>
      <c r="E634" s="34"/>
    </row>
    <row r="635">
      <c r="A635" s="34"/>
      <c r="B635" s="34"/>
      <c r="C635" s="34"/>
      <c r="D635" s="34"/>
      <c r="E635" s="34"/>
    </row>
    <row r="636">
      <c r="A636" s="34"/>
      <c r="B636" s="34"/>
      <c r="C636" s="34"/>
      <c r="D636" s="34"/>
      <c r="E636" s="34"/>
    </row>
    <row r="637">
      <c r="A637" s="34"/>
      <c r="B637" s="34"/>
      <c r="C637" s="34"/>
      <c r="D637" s="34"/>
      <c r="E637" s="34"/>
    </row>
    <row r="638">
      <c r="A638" s="34"/>
      <c r="B638" s="34"/>
      <c r="C638" s="34"/>
      <c r="D638" s="34"/>
      <c r="E638" s="34"/>
    </row>
    <row r="639">
      <c r="A639" s="34"/>
      <c r="B639" s="34"/>
      <c r="C639" s="34"/>
      <c r="D639" s="34"/>
      <c r="E639" s="34"/>
    </row>
    <row r="640">
      <c r="A640" s="34"/>
      <c r="B640" s="34"/>
      <c r="C640" s="34"/>
      <c r="D640" s="34"/>
      <c r="E640" s="34"/>
    </row>
    <row r="641">
      <c r="A641" s="34"/>
      <c r="B641" s="34"/>
      <c r="C641" s="34"/>
      <c r="D641" s="34"/>
      <c r="E641" s="34"/>
    </row>
    <row r="642">
      <c r="A642" s="34"/>
      <c r="B642" s="34"/>
      <c r="C642" s="34"/>
      <c r="D642" s="34"/>
      <c r="E642" s="34"/>
    </row>
    <row r="643">
      <c r="A643" s="34"/>
      <c r="B643" s="34"/>
      <c r="C643" s="34"/>
      <c r="D643" s="34"/>
      <c r="E643" s="34"/>
    </row>
    <row r="644">
      <c r="A644" s="34"/>
      <c r="B644" s="34"/>
      <c r="C644" s="34"/>
      <c r="D644" s="34"/>
      <c r="E644" s="34"/>
    </row>
    <row r="645">
      <c r="A645" s="34"/>
      <c r="B645" s="34"/>
      <c r="C645" s="34"/>
      <c r="D645" s="34"/>
      <c r="E645" s="34"/>
    </row>
    <row r="646">
      <c r="A646" s="34"/>
      <c r="B646" s="34"/>
      <c r="C646" s="34"/>
      <c r="D646" s="34"/>
      <c r="E646" s="34"/>
    </row>
    <row r="647">
      <c r="A647" s="34"/>
      <c r="B647" s="34"/>
      <c r="C647" s="34"/>
      <c r="D647" s="34"/>
      <c r="E647" s="34"/>
    </row>
    <row r="648">
      <c r="A648" s="34"/>
      <c r="B648" s="34"/>
      <c r="C648" s="34"/>
      <c r="D648" s="34"/>
      <c r="E648" s="34"/>
    </row>
    <row r="649">
      <c r="A649" s="34"/>
      <c r="B649" s="34"/>
      <c r="C649" s="34"/>
      <c r="D649" s="34"/>
      <c r="E649" s="34"/>
    </row>
    <row r="650">
      <c r="A650" s="34"/>
      <c r="B650" s="34"/>
      <c r="C650" s="34"/>
      <c r="D650" s="34"/>
      <c r="E650" s="34"/>
    </row>
    <row r="651">
      <c r="A651" s="34"/>
      <c r="B651" s="34"/>
      <c r="C651" s="34"/>
      <c r="D651" s="34"/>
      <c r="E651" s="34"/>
    </row>
    <row r="652">
      <c r="A652" s="34"/>
      <c r="B652" s="34"/>
      <c r="C652" s="34"/>
      <c r="D652" s="34"/>
      <c r="E652" s="34"/>
    </row>
    <row r="653">
      <c r="A653" s="34"/>
      <c r="B653" s="34"/>
      <c r="C653" s="34"/>
      <c r="D653" s="34"/>
      <c r="E653" s="34"/>
    </row>
    <row r="654">
      <c r="A654" s="34"/>
      <c r="B654" s="34"/>
      <c r="C654" s="34"/>
      <c r="D654" s="34"/>
      <c r="E654" s="34"/>
    </row>
    <row r="655">
      <c r="A655" s="34"/>
      <c r="B655" s="34"/>
      <c r="C655" s="34"/>
      <c r="D655" s="34"/>
      <c r="E655" s="34"/>
    </row>
    <row r="656">
      <c r="A656" s="34"/>
      <c r="B656" s="34"/>
      <c r="C656" s="34"/>
      <c r="D656" s="34"/>
      <c r="E656" s="34"/>
    </row>
    <row r="657">
      <c r="A657" s="34"/>
      <c r="B657" s="34"/>
      <c r="C657" s="34"/>
      <c r="D657" s="34"/>
      <c r="E657" s="34"/>
    </row>
    <row r="658">
      <c r="A658" s="34"/>
      <c r="B658" s="34"/>
      <c r="C658" s="34"/>
      <c r="D658" s="34"/>
      <c r="E658" s="34"/>
    </row>
    <row r="659">
      <c r="A659" s="34"/>
      <c r="B659" s="34"/>
      <c r="C659" s="34"/>
      <c r="D659" s="34"/>
      <c r="E659" s="34"/>
    </row>
    <row r="660">
      <c r="A660" s="34"/>
      <c r="B660" s="34"/>
      <c r="C660" s="34"/>
      <c r="D660" s="34"/>
      <c r="E660" s="34"/>
    </row>
    <row r="661">
      <c r="A661" s="34"/>
      <c r="B661" s="34"/>
      <c r="C661" s="34"/>
      <c r="D661" s="34"/>
      <c r="E661" s="34"/>
    </row>
    <row r="662">
      <c r="A662" s="34"/>
      <c r="B662" s="34"/>
      <c r="C662" s="34"/>
      <c r="D662" s="34"/>
      <c r="E662" s="34"/>
    </row>
    <row r="663">
      <c r="A663" s="34"/>
      <c r="B663" s="34"/>
      <c r="C663" s="34"/>
      <c r="D663" s="34"/>
      <c r="E663" s="34"/>
    </row>
    <row r="664">
      <c r="A664" s="34"/>
      <c r="B664" s="34"/>
      <c r="C664" s="34"/>
      <c r="D664" s="34"/>
      <c r="E664" s="34"/>
    </row>
    <row r="665">
      <c r="A665" s="34"/>
      <c r="B665" s="34"/>
      <c r="C665" s="34"/>
      <c r="D665" s="34"/>
      <c r="E665" s="34"/>
    </row>
    <row r="666">
      <c r="A666" s="34"/>
      <c r="B666" s="34"/>
      <c r="C666" s="34"/>
      <c r="D666" s="34"/>
      <c r="E666" s="34"/>
    </row>
    <row r="667">
      <c r="A667" s="34"/>
      <c r="B667" s="34"/>
      <c r="C667" s="34"/>
      <c r="D667" s="34"/>
      <c r="E667" s="34"/>
    </row>
    <row r="668">
      <c r="A668" s="34"/>
      <c r="B668" s="34"/>
      <c r="C668" s="34"/>
      <c r="D668" s="34"/>
      <c r="E668" s="34"/>
    </row>
    <row r="669">
      <c r="A669" s="34"/>
      <c r="B669" s="34"/>
      <c r="C669" s="34"/>
      <c r="D669" s="34"/>
      <c r="E669" s="34"/>
    </row>
    <row r="670">
      <c r="A670" s="34"/>
      <c r="B670" s="34"/>
      <c r="C670" s="34"/>
      <c r="D670" s="34"/>
      <c r="E670" s="34"/>
    </row>
    <row r="671">
      <c r="A671" s="34"/>
      <c r="B671" s="34"/>
      <c r="C671" s="34"/>
      <c r="D671" s="34"/>
      <c r="E671" s="34"/>
    </row>
    <row r="672">
      <c r="A672" s="34"/>
      <c r="B672" s="34"/>
      <c r="C672" s="34"/>
      <c r="D672" s="34"/>
      <c r="E672" s="34"/>
    </row>
    <row r="673">
      <c r="A673" s="34"/>
      <c r="B673" s="34"/>
      <c r="C673" s="34"/>
      <c r="D673" s="34"/>
      <c r="E673" s="34"/>
    </row>
    <row r="674">
      <c r="A674" s="34"/>
      <c r="B674" s="34"/>
      <c r="C674" s="34"/>
      <c r="D674" s="34"/>
      <c r="E674" s="34"/>
    </row>
    <row r="675">
      <c r="A675" s="34"/>
      <c r="B675" s="34"/>
      <c r="C675" s="34"/>
      <c r="D675" s="34"/>
      <c r="E675" s="34"/>
    </row>
    <row r="676">
      <c r="A676" s="34"/>
      <c r="B676" s="34"/>
      <c r="C676" s="34"/>
      <c r="D676" s="34"/>
      <c r="E676" s="34"/>
    </row>
    <row r="677">
      <c r="A677" s="34"/>
      <c r="B677" s="34"/>
      <c r="C677" s="34"/>
      <c r="D677" s="34"/>
      <c r="E677" s="34"/>
    </row>
    <row r="678">
      <c r="A678" s="34"/>
      <c r="B678" s="34"/>
      <c r="C678" s="34"/>
      <c r="D678" s="34"/>
      <c r="E678" s="34"/>
    </row>
    <row r="679">
      <c r="A679" s="34"/>
      <c r="B679" s="34"/>
      <c r="C679" s="34"/>
      <c r="D679" s="34"/>
      <c r="E679" s="34"/>
    </row>
    <row r="680">
      <c r="A680" s="34"/>
      <c r="B680" s="34"/>
      <c r="C680" s="34"/>
      <c r="D680" s="34"/>
      <c r="E680" s="34"/>
    </row>
    <row r="681">
      <c r="A681" s="34"/>
      <c r="B681" s="34"/>
      <c r="C681" s="34"/>
      <c r="D681" s="34"/>
      <c r="E681" s="34"/>
    </row>
    <row r="682">
      <c r="A682" s="34"/>
      <c r="B682" s="34"/>
      <c r="C682" s="34"/>
      <c r="D682" s="34"/>
      <c r="E682" s="34"/>
    </row>
    <row r="683">
      <c r="A683" s="34"/>
      <c r="B683" s="34"/>
      <c r="C683" s="34"/>
      <c r="D683" s="34"/>
      <c r="E683" s="34"/>
    </row>
    <row r="684">
      <c r="A684" s="34"/>
      <c r="B684" s="34"/>
      <c r="C684" s="34"/>
      <c r="D684" s="34"/>
      <c r="E684" s="34"/>
    </row>
    <row r="685">
      <c r="A685" s="34"/>
      <c r="B685" s="34"/>
      <c r="C685" s="34"/>
      <c r="D685" s="34"/>
      <c r="E685" s="34"/>
    </row>
    <row r="686">
      <c r="A686" s="34"/>
      <c r="B686" s="34"/>
      <c r="C686" s="34"/>
      <c r="D686" s="34"/>
      <c r="E686" s="34"/>
    </row>
    <row r="687">
      <c r="A687" s="34"/>
      <c r="B687" s="34"/>
      <c r="C687" s="34"/>
      <c r="D687" s="34"/>
      <c r="E687" s="34"/>
    </row>
    <row r="688">
      <c r="A688" s="34"/>
      <c r="B688" s="34"/>
      <c r="C688" s="34"/>
      <c r="D688" s="34"/>
      <c r="E688" s="34"/>
    </row>
    <row r="689">
      <c r="A689" s="34"/>
      <c r="B689" s="34"/>
      <c r="C689" s="34"/>
      <c r="D689" s="34"/>
      <c r="E689" s="34"/>
    </row>
    <row r="690">
      <c r="A690" s="34"/>
      <c r="B690" s="34"/>
      <c r="C690" s="34"/>
      <c r="D690" s="34"/>
      <c r="E690" s="34"/>
    </row>
    <row r="691">
      <c r="A691" s="34"/>
      <c r="B691" s="34"/>
      <c r="C691" s="34"/>
      <c r="D691" s="34"/>
      <c r="E691" s="34"/>
    </row>
    <row r="692">
      <c r="A692" s="34"/>
      <c r="B692" s="34"/>
      <c r="C692" s="34"/>
      <c r="D692" s="34"/>
      <c r="E692" s="34"/>
    </row>
    <row r="693">
      <c r="A693" s="34"/>
      <c r="B693" s="34"/>
      <c r="C693" s="34"/>
      <c r="D693" s="34"/>
      <c r="E693" s="34"/>
    </row>
    <row r="694">
      <c r="A694" s="34"/>
      <c r="B694" s="34"/>
      <c r="C694" s="34"/>
      <c r="D694" s="34"/>
      <c r="E694" s="34"/>
    </row>
    <row r="695">
      <c r="A695" s="34"/>
      <c r="B695" s="34"/>
      <c r="C695" s="34"/>
      <c r="D695" s="34"/>
      <c r="E695" s="34"/>
    </row>
    <row r="696">
      <c r="A696" s="34"/>
      <c r="B696" s="34"/>
      <c r="C696" s="34"/>
      <c r="D696" s="34"/>
      <c r="E696" s="34"/>
    </row>
    <row r="697">
      <c r="A697" s="34"/>
      <c r="B697" s="34"/>
      <c r="C697" s="34"/>
      <c r="D697" s="34"/>
      <c r="E697" s="34"/>
    </row>
    <row r="698">
      <c r="A698" s="34"/>
      <c r="B698" s="34"/>
      <c r="C698" s="34"/>
      <c r="D698" s="34"/>
      <c r="E698" s="34"/>
    </row>
    <row r="699">
      <c r="A699" s="34"/>
      <c r="B699" s="34"/>
      <c r="C699" s="34"/>
      <c r="D699" s="34"/>
      <c r="E699" s="34"/>
    </row>
    <row r="700">
      <c r="A700" s="34"/>
      <c r="B700" s="34"/>
      <c r="C700" s="34"/>
      <c r="D700" s="34"/>
      <c r="E700" s="34"/>
    </row>
    <row r="701">
      <c r="A701" s="34"/>
      <c r="B701" s="34"/>
      <c r="C701" s="34"/>
      <c r="D701" s="34"/>
      <c r="E701" s="34"/>
    </row>
    <row r="702">
      <c r="A702" s="34"/>
      <c r="B702" s="34"/>
      <c r="C702" s="34"/>
      <c r="D702" s="34"/>
      <c r="E702" s="34"/>
    </row>
    <row r="703">
      <c r="A703" s="34"/>
      <c r="B703" s="34"/>
      <c r="C703" s="34"/>
      <c r="D703" s="34"/>
      <c r="E703" s="34"/>
    </row>
    <row r="704">
      <c r="A704" s="34"/>
      <c r="B704" s="34"/>
      <c r="C704" s="34"/>
      <c r="D704" s="34"/>
      <c r="E704" s="34"/>
    </row>
    <row r="705">
      <c r="A705" s="34"/>
      <c r="B705" s="34"/>
      <c r="C705" s="34"/>
      <c r="D705" s="34"/>
      <c r="E705" s="34"/>
    </row>
    <row r="706">
      <c r="A706" s="34"/>
      <c r="B706" s="34"/>
      <c r="C706" s="34"/>
      <c r="D706" s="34"/>
      <c r="E706" s="34"/>
    </row>
    <row r="707">
      <c r="A707" s="34"/>
      <c r="B707" s="34"/>
      <c r="C707" s="34"/>
      <c r="D707" s="34"/>
      <c r="E707" s="34"/>
    </row>
    <row r="708">
      <c r="A708" s="34"/>
      <c r="B708" s="34"/>
      <c r="C708" s="34"/>
      <c r="D708" s="34"/>
      <c r="E708" s="34"/>
    </row>
    <row r="709">
      <c r="A709" s="34"/>
      <c r="B709" s="34"/>
      <c r="C709" s="34"/>
      <c r="D709" s="34"/>
      <c r="E709" s="34"/>
    </row>
    <row r="710">
      <c r="A710" s="34"/>
      <c r="B710" s="34"/>
      <c r="C710" s="34"/>
      <c r="D710" s="34"/>
      <c r="E710" s="34"/>
    </row>
    <row r="711">
      <c r="A711" s="34"/>
      <c r="B711" s="34"/>
      <c r="C711" s="34"/>
      <c r="D711" s="34"/>
      <c r="E711" s="34"/>
    </row>
    <row r="712">
      <c r="A712" s="34"/>
      <c r="B712" s="34"/>
      <c r="C712" s="34"/>
      <c r="D712" s="34"/>
      <c r="E712" s="34"/>
    </row>
    <row r="713">
      <c r="A713" s="34"/>
      <c r="B713" s="34"/>
      <c r="C713" s="34"/>
      <c r="D713" s="34"/>
      <c r="E713" s="34"/>
    </row>
    <row r="714">
      <c r="A714" s="34"/>
      <c r="B714" s="34"/>
      <c r="C714" s="34"/>
      <c r="D714" s="34"/>
      <c r="E714" s="34"/>
    </row>
    <row r="715">
      <c r="A715" s="34"/>
      <c r="B715" s="34"/>
      <c r="C715" s="34"/>
      <c r="D715" s="34"/>
      <c r="E715" s="34"/>
    </row>
    <row r="716">
      <c r="A716" s="34"/>
      <c r="B716" s="34"/>
      <c r="C716" s="34"/>
      <c r="D716" s="34"/>
      <c r="E716" s="34"/>
    </row>
    <row r="717">
      <c r="A717" s="34"/>
      <c r="B717" s="34"/>
      <c r="C717" s="34"/>
      <c r="D717" s="34"/>
      <c r="E717" s="34"/>
    </row>
    <row r="718">
      <c r="A718" s="34"/>
      <c r="B718" s="34"/>
      <c r="C718" s="34"/>
      <c r="D718" s="34"/>
      <c r="E718" s="34"/>
    </row>
    <row r="719">
      <c r="A719" s="34"/>
      <c r="B719" s="34"/>
      <c r="C719" s="34"/>
      <c r="D719" s="34"/>
      <c r="E719" s="34"/>
    </row>
    <row r="720">
      <c r="A720" s="34"/>
      <c r="B720" s="34"/>
      <c r="C720" s="34"/>
      <c r="D720" s="34"/>
      <c r="E720" s="34"/>
    </row>
    <row r="721">
      <c r="A721" s="34"/>
      <c r="B721" s="34"/>
      <c r="C721" s="34"/>
      <c r="D721" s="34"/>
      <c r="E721" s="34"/>
    </row>
    <row r="722">
      <c r="A722" s="34"/>
      <c r="B722" s="34"/>
      <c r="C722" s="34"/>
      <c r="D722" s="34"/>
      <c r="E722" s="34"/>
    </row>
    <row r="723">
      <c r="A723" s="34"/>
      <c r="B723" s="34"/>
      <c r="C723" s="34"/>
      <c r="D723" s="34"/>
      <c r="E723" s="34"/>
    </row>
    <row r="724">
      <c r="A724" s="34"/>
      <c r="B724" s="34"/>
      <c r="C724" s="34"/>
      <c r="D724" s="34"/>
      <c r="E724" s="34"/>
    </row>
    <row r="725">
      <c r="A725" s="34"/>
      <c r="B725" s="34"/>
      <c r="C725" s="34"/>
      <c r="D725" s="34"/>
      <c r="E725" s="34"/>
    </row>
    <row r="726">
      <c r="A726" s="34"/>
      <c r="B726" s="34"/>
      <c r="C726" s="34"/>
      <c r="D726" s="34"/>
      <c r="E726" s="34"/>
    </row>
    <row r="727">
      <c r="A727" s="34"/>
      <c r="B727" s="34"/>
      <c r="C727" s="34"/>
      <c r="D727" s="34"/>
      <c r="E727" s="34"/>
    </row>
    <row r="728">
      <c r="A728" s="34"/>
      <c r="B728" s="34"/>
      <c r="C728" s="34"/>
      <c r="D728" s="34"/>
      <c r="E728" s="34"/>
    </row>
    <row r="729">
      <c r="A729" s="34"/>
      <c r="B729" s="34"/>
      <c r="C729" s="34"/>
      <c r="D729" s="34"/>
      <c r="E729" s="34"/>
    </row>
    <row r="730">
      <c r="A730" s="34"/>
      <c r="B730" s="34"/>
      <c r="C730" s="34"/>
      <c r="D730" s="34"/>
      <c r="E730" s="34"/>
    </row>
    <row r="731">
      <c r="A731" s="34"/>
      <c r="B731" s="34"/>
      <c r="C731" s="34"/>
      <c r="D731" s="34"/>
      <c r="E731" s="34"/>
    </row>
    <row r="732">
      <c r="A732" s="34"/>
      <c r="B732" s="34"/>
      <c r="C732" s="34"/>
      <c r="D732" s="34"/>
      <c r="E732" s="34"/>
    </row>
    <row r="733">
      <c r="A733" s="34"/>
      <c r="B733" s="34"/>
      <c r="C733" s="34"/>
      <c r="D733" s="34"/>
      <c r="E733" s="34"/>
    </row>
    <row r="734">
      <c r="A734" s="34"/>
      <c r="B734" s="34"/>
      <c r="C734" s="34"/>
      <c r="D734" s="34"/>
      <c r="E734" s="34"/>
    </row>
    <row r="735">
      <c r="A735" s="34"/>
      <c r="B735" s="34"/>
      <c r="C735" s="34"/>
      <c r="D735" s="34"/>
      <c r="E735" s="34"/>
    </row>
    <row r="736">
      <c r="A736" s="34"/>
      <c r="B736" s="34"/>
      <c r="C736" s="34"/>
      <c r="D736" s="34"/>
      <c r="E736" s="34"/>
    </row>
    <row r="737">
      <c r="A737" s="34"/>
      <c r="B737" s="34"/>
      <c r="C737" s="34"/>
      <c r="D737" s="34"/>
      <c r="E737" s="34"/>
    </row>
    <row r="738">
      <c r="A738" s="34"/>
      <c r="B738" s="34"/>
      <c r="C738" s="34"/>
      <c r="D738" s="34"/>
      <c r="E738" s="34"/>
    </row>
    <row r="739">
      <c r="A739" s="34"/>
      <c r="B739" s="34"/>
      <c r="C739" s="34"/>
      <c r="D739" s="34"/>
      <c r="E739" s="34"/>
    </row>
    <row r="740">
      <c r="A740" s="34"/>
      <c r="B740" s="34"/>
      <c r="C740" s="34"/>
      <c r="D740" s="34"/>
      <c r="E740" s="34"/>
    </row>
    <row r="741">
      <c r="A741" s="34"/>
      <c r="B741" s="34"/>
      <c r="C741" s="34"/>
      <c r="D741" s="34"/>
      <c r="E741" s="34"/>
    </row>
    <row r="742">
      <c r="A742" s="34"/>
      <c r="B742" s="34"/>
      <c r="C742" s="34"/>
      <c r="D742" s="34"/>
      <c r="E742" s="34"/>
    </row>
    <row r="743">
      <c r="A743" s="34"/>
      <c r="B743" s="34"/>
      <c r="C743" s="34"/>
      <c r="D743" s="34"/>
      <c r="E743" s="34"/>
    </row>
    <row r="744">
      <c r="A744" s="34"/>
      <c r="B744" s="34"/>
      <c r="C744" s="34"/>
      <c r="D744" s="34"/>
      <c r="E744" s="34"/>
    </row>
    <row r="745">
      <c r="A745" s="34"/>
      <c r="B745" s="34"/>
      <c r="C745" s="34"/>
      <c r="D745" s="34"/>
      <c r="E745" s="34"/>
    </row>
    <row r="746">
      <c r="A746" s="34"/>
      <c r="B746" s="34"/>
      <c r="C746" s="34"/>
      <c r="D746" s="34"/>
      <c r="E746" s="34"/>
    </row>
    <row r="747">
      <c r="A747" s="34"/>
      <c r="B747" s="34"/>
      <c r="C747" s="34"/>
      <c r="D747" s="34"/>
      <c r="E747" s="34"/>
    </row>
    <row r="748">
      <c r="A748" s="34"/>
      <c r="B748" s="34"/>
      <c r="C748" s="34"/>
      <c r="D748" s="34"/>
      <c r="E748" s="34"/>
    </row>
    <row r="749">
      <c r="A749" s="34"/>
      <c r="B749" s="34"/>
      <c r="C749" s="34"/>
      <c r="D749" s="34"/>
      <c r="E749" s="34"/>
    </row>
    <row r="750">
      <c r="A750" s="34"/>
      <c r="B750" s="34"/>
      <c r="C750" s="34"/>
      <c r="D750" s="34"/>
      <c r="E750" s="34"/>
    </row>
    <row r="751">
      <c r="A751" s="34"/>
      <c r="B751" s="34"/>
      <c r="C751" s="34"/>
      <c r="D751" s="34"/>
      <c r="E751" s="34"/>
    </row>
    <row r="752">
      <c r="A752" s="34"/>
      <c r="B752" s="34"/>
      <c r="C752" s="34"/>
      <c r="D752" s="34"/>
      <c r="E752" s="34"/>
    </row>
    <row r="753">
      <c r="A753" s="34"/>
      <c r="B753" s="34"/>
      <c r="C753" s="34"/>
      <c r="D753" s="34"/>
      <c r="E753" s="34"/>
    </row>
    <row r="754">
      <c r="A754" s="34"/>
      <c r="B754" s="34"/>
      <c r="C754" s="34"/>
      <c r="D754" s="34"/>
      <c r="E754" s="34"/>
    </row>
    <row r="755">
      <c r="A755" s="34"/>
      <c r="B755" s="34"/>
      <c r="C755" s="34"/>
      <c r="D755" s="34"/>
      <c r="E755" s="34"/>
    </row>
    <row r="756">
      <c r="A756" s="34"/>
      <c r="B756" s="34"/>
      <c r="C756" s="34"/>
      <c r="D756" s="34"/>
      <c r="E756" s="34"/>
    </row>
    <row r="757">
      <c r="A757" s="34"/>
      <c r="B757" s="34"/>
      <c r="C757" s="34"/>
      <c r="D757" s="34"/>
      <c r="E757" s="34"/>
    </row>
    <row r="758">
      <c r="A758" s="34"/>
      <c r="B758" s="34"/>
      <c r="C758" s="34"/>
      <c r="D758" s="34"/>
      <c r="E758" s="34"/>
    </row>
    <row r="759">
      <c r="A759" s="34"/>
      <c r="B759" s="34"/>
      <c r="C759" s="34"/>
      <c r="D759" s="34"/>
      <c r="E759" s="34"/>
    </row>
    <row r="760">
      <c r="A760" s="34"/>
      <c r="B760" s="34"/>
      <c r="C760" s="34"/>
      <c r="D760" s="34"/>
      <c r="E760" s="34"/>
    </row>
    <row r="761">
      <c r="A761" s="34"/>
      <c r="B761" s="34"/>
      <c r="C761" s="34"/>
      <c r="D761" s="34"/>
      <c r="E761" s="34"/>
    </row>
    <row r="762">
      <c r="A762" s="34"/>
      <c r="B762" s="34"/>
      <c r="C762" s="34"/>
      <c r="D762" s="34"/>
      <c r="E762" s="34"/>
    </row>
    <row r="763">
      <c r="A763" s="34"/>
      <c r="B763" s="34"/>
      <c r="C763" s="34"/>
      <c r="D763" s="34"/>
      <c r="E763" s="34"/>
    </row>
    <row r="764">
      <c r="A764" s="34"/>
      <c r="B764" s="34"/>
      <c r="C764" s="34"/>
      <c r="D764" s="34"/>
      <c r="E764" s="34"/>
    </row>
    <row r="765">
      <c r="A765" s="34"/>
      <c r="B765" s="34"/>
      <c r="C765" s="34"/>
      <c r="D765" s="34"/>
      <c r="E765" s="34"/>
    </row>
    <row r="766">
      <c r="A766" s="34"/>
      <c r="B766" s="34"/>
      <c r="C766" s="34"/>
      <c r="D766" s="34"/>
      <c r="E766" s="34"/>
    </row>
    <row r="767">
      <c r="A767" s="34"/>
      <c r="B767" s="34"/>
      <c r="C767" s="34"/>
      <c r="D767" s="34"/>
      <c r="E767" s="34"/>
    </row>
    <row r="768">
      <c r="A768" s="34"/>
      <c r="B768" s="34"/>
      <c r="C768" s="34"/>
      <c r="D768" s="34"/>
      <c r="E768" s="34"/>
    </row>
    <row r="769">
      <c r="A769" s="34"/>
      <c r="B769" s="34"/>
      <c r="C769" s="34"/>
      <c r="D769" s="34"/>
      <c r="E769" s="34"/>
    </row>
    <row r="770">
      <c r="A770" s="34"/>
      <c r="B770" s="34"/>
      <c r="C770" s="34"/>
      <c r="D770" s="34"/>
      <c r="E770" s="34"/>
    </row>
    <row r="771">
      <c r="A771" s="34"/>
      <c r="B771" s="34"/>
      <c r="C771" s="34"/>
      <c r="D771" s="34"/>
      <c r="E771" s="34"/>
    </row>
    <row r="772">
      <c r="A772" s="34"/>
      <c r="B772" s="34"/>
      <c r="C772" s="34"/>
      <c r="D772" s="34"/>
      <c r="E772" s="34"/>
    </row>
    <row r="773">
      <c r="A773" s="34"/>
      <c r="B773" s="34"/>
      <c r="C773" s="34"/>
      <c r="D773" s="34"/>
      <c r="E773" s="34"/>
    </row>
    <row r="774">
      <c r="A774" s="34"/>
      <c r="B774" s="34"/>
      <c r="C774" s="34"/>
      <c r="D774" s="34"/>
      <c r="E774" s="34"/>
    </row>
    <row r="775">
      <c r="A775" s="34"/>
      <c r="B775" s="34"/>
      <c r="C775" s="34"/>
      <c r="D775" s="34"/>
      <c r="E775" s="34"/>
    </row>
    <row r="776">
      <c r="A776" s="34"/>
      <c r="B776" s="34"/>
      <c r="C776" s="34"/>
      <c r="D776" s="34"/>
      <c r="E776" s="34"/>
    </row>
    <row r="777">
      <c r="A777" s="34"/>
      <c r="B777" s="34"/>
      <c r="C777" s="34"/>
      <c r="D777" s="34"/>
      <c r="E777" s="34"/>
    </row>
    <row r="778">
      <c r="A778" s="34"/>
      <c r="B778" s="34"/>
      <c r="C778" s="34"/>
      <c r="D778" s="34"/>
      <c r="E778" s="34"/>
    </row>
    <row r="779">
      <c r="A779" s="34"/>
      <c r="B779" s="34"/>
      <c r="C779" s="34"/>
      <c r="D779" s="34"/>
      <c r="E779" s="34"/>
    </row>
    <row r="780">
      <c r="A780" s="34"/>
      <c r="B780" s="34"/>
      <c r="C780" s="34"/>
      <c r="D780" s="34"/>
      <c r="E780" s="34"/>
    </row>
    <row r="781">
      <c r="A781" s="34"/>
      <c r="B781" s="34"/>
      <c r="C781" s="34"/>
      <c r="D781" s="34"/>
      <c r="E781" s="34"/>
    </row>
    <row r="782">
      <c r="A782" s="34"/>
      <c r="B782" s="34"/>
      <c r="C782" s="34"/>
      <c r="D782" s="34"/>
      <c r="E782" s="34"/>
    </row>
    <row r="783">
      <c r="A783" s="34"/>
      <c r="B783" s="34"/>
      <c r="C783" s="34"/>
      <c r="D783" s="34"/>
      <c r="E783" s="34"/>
    </row>
    <row r="784">
      <c r="A784" s="34"/>
      <c r="B784" s="34"/>
      <c r="C784" s="34"/>
      <c r="D784" s="34"/>
      <c r="E784" s="34"/>
    </row>
    <row r="785">
      <c r="A785" s="34"/>
      <c r="B785" s="34"/>
      <c r="C785" s="34"/>
      <c r="D785" s="34"/>
      <c r="E785" s="34"/>
    </row>
    <row r="786">
      <c r="A786" s="34"/>
      <c r="B786" s="34"/>
      <c r="C786" s="34"/>
      <c r="D786" s="34"/>
      <c r="E786" s="34"/>
    </row>
    <row r="787">
      <c r="A787" s="34"/>
      <c r="B787" s="34"/>
      <c r="C787" s="34"/>
      <c r="D787" s="34"/>
      <c r="E787" s="34"/>
    </row>
    <row r="788">
      <c r="A788" s="34"/>
      <c r="B788" s="34"/>
      <c r="C788" s="34"/>
      <c r="D788" s="34"/>
      <c r="E788" s="34"/>
    </row>
    <row r="789">
      <c r="A789" s="34"/>
      <c r="B789" s="34"/>
      <c r="C789" s="34"/>
      <c r="D789" s="34"/>
      <c r="E789" s="34"/>
    </row>
    <row r="790">
      <c r="A790" s="34"/>
      <c r="B790" s="34"/>
      <c r="C790" s="34"/>
      <c r="D790" s="34"/>
      <c r="E790" s="34"/>
    </row>
    <row r="791">
      <c r="A791" s="34"/>
      <c r="B791" s="34"/>
      <c r="C791" s="34"/>
      <c r="D791" s="34"/>
      <c r="E791" s="34"/>
    </row>
    <row r="792">
      <c r="A792" s="34"/>
      <c r="B792" s="34"/>
      <c r="C792" s="34"/>
      <c r="D792" s="34"/>
      <c r="E792" s="34"/>
    </row>
    <row r="793">
      <c r="A793" s="34"/>
      <c r="B793" s="34"/>
      <c r="C793" s="34"/>
      <c r="D793" s="34"/>
      <c r="E793" s="34"/>
    </row>
    <row r="794">
      <c r="A794" s="34"/>
      <c r="B794" s="34"/>
      <c r="C794" s="34"/>
      <c r="D794" s="34"/>
      <c r="E794" s="34"/>
    </row>
    <row r="795">
      <c r="A795" s="34"/>
      <c r="B795" s="34"/>
      <c r="C795" s="34"/>
      <c r="D795" s="34"/>
      <c r="E795" s="34"/>
    </row>
    <row r="796">
      <c r="A796" s="34"/>
      <c r="B796" s="34"/>
      <c r="C796" s="34"/>
      <c r="D796" s="34"/>
      <c r="E796" s="34"/>
    </row>
    <row r="797">
      <c r="A797" s="34"/>
      <c r="B797" s="34"/>
      <c r="C797" s="34"/>
      <c r="D797" s="34"/>
      <c r="E797" s="34"/>
    </row>
    <row r="798">
      <c r="A798" s="34"/>
      <c r="B798" s="34"/>
      <c r="C798" s="34"/>
      <c r="D798" s="34"/>
      <c r="E798" s="34"/>
    </row>
    <row r="799">
      <c r="A799" s="34"/>
      <c r="B799" s="34"/>
      <c r="C799" s="34"/>
      <c r="D799" s="34"/>
      <c r="E799" s="34"/>
    </row>
    <row r="800">
      <c r="A800" s="34"/>
      <c r="B800" s="34"/>
      <c r="C800" s="34"/>
      <c r="D800" s="34"/>
      <c r="E800" s="34"/>
    </row>
    <row r="801">
      <c r="A801" s="34"/>
      <c r="B801" s="34"/>
      <c r="C801" s="34"/>
      <c r="D801" s="34"/>
      <c r="E801" s="34"/>
    </row>
    <row r="802">
      <c r="A802" s="34"/>
      <c r="B802" s="34"/>
      <c r="C802" s="34"/>
      <c r="D802" s="34"/>
      <c r="E802" s="34"/>
    </row>
    <row r="803">
      <c r="A803" s="34"/>
      <c r="B803" s="34"/>
      <c r="C803" s="34"/>
      <c r="D803" s="34"/>
      <c r="E803" s="34"/>
    </row>
    <row r="804">
      <c r="A804" s="34"/>
      <c r="B804" s="34"/>
      <c r="C804" s="34"/>
      <c r="D804" s="34"/>
      <c r="E804" s="34"/>
    </row>
    <row r="805">
      <c r="A805" s="34"/>
      <c r="B805" s="34"/>
      <c r="C805" s="34"/>
      <c r="D805" s="34"/>
      <c r="E805" s="34"/>
    </row>
    <row r="806">
      <c r="A806" s="34"/>
      <c r="B806" s="34"/>
      <c r="C806" s="34"/>
      <c r="D806" s="34"/>
      <c r="E806" s="34"/>
    </row>
    <row r="807">
      <c r="A807" s="34"/>
      <c r="B807" s="34"/>
      <c r="C807" s="34"/>
      <c r="D807" s="34"/>
      <c r="E807" s="34"/>
    </row>
    <row r="808">
      <c r="A808" s="34"/>
      <c r="B808" s="34"/>
      <c r="C808" s="34"/>
      <c r="D808" s="34"/>
      <c r="E808" s="34"/>
    </row>
    <row r="809">
      <c r="A809" s="34"/>
      <c r="B809" s="34"/>
      <c r="C809" s="34"/>
      <c r="D809" s="34"/>
      <c r="E809" s="34"/>
    </row>
    <row r="810">
      <c r="A810" s="34"/>
      <c r="B810" s="34"/>
      <c r="C810" s="34"/>
      <c r="D810" s="34"/>
      <c r="E810" s="34"/>
    </row>
    <row r="811">
      <c r="A811" s="34"/>
      <c r="B811" s="34"/>
      <c r="C811" s="34"/>
      <c r="D811" s="34"/>
      <c r="E811" s="34"/>
    </row>
    <row r="812">
      <c r="A812" s="34"/>
      <c r="B812" s="34"/>
      <c r="C812" s="34"/>
      <c r="D812" s="34"/>
      <c r="E812" s="34"/>
    </row>
    <row r="813">
      <c r="A813" s="34"/>
      <c r="B813" s="34"/>
      <c r="C813" s="34"/>
      <c r="D813" s="34"/>
      <c r="E813" s="34"/>
    </row>
    <row r="814">
      <c r="A814" s="34"/>
      <c r="B814" s="34"/>
      <c r="C814" s="34"/>
      <c r="D814" s="34"/>
      <c r="E814" s="34"/>
    </row>
    <row r="815">
      <c r="A815" s="34"/>
      <c r="B815" s="34"/>
      <c r="C815" s="34"/>
      <c r="D815" s="34"/>
      <c r="E815" s="34"/>
    </row>
    <row r="816">
      <c r="A816" s="34"/>
      <c r="B816" s="34"/>
      <c r="C816" s="34"/>
      <c r="D816" s="34"/>
      <c r="E816" s="34"/>
    </row>
    <row r="817">
      <c r="A817" s="34"/>
      <c r="B817" s="34"/>
      <c r="C817" s="34"/>
      <c r="D817" s="34"/>
      <c r="E817" s="34"/>
    </row>
    <row r="818">
      <c r="A818" s="34"/>
      <c r="B818" s="34"/>
      <c r="C818" s="34"/>
      <c r="D818" s="34"/>
      <c r="E818" s="34"/>
    </row>
    <row r="819">
      <c r="A819" s="34"/>
      <c r="B819" s="34"/>
      <c r="C819" s="34"/>
      <c r="D819" s="34"/>
      <c r="E819" s="34"/>
    </row>
    <row r="820">
      <c r="A820" s="34"/>
      <c r="B820" s="34"/>
      <c r="C820" s="34"/>
      <c r="D820" s="34"/>
      <c r="E820" s="34"/>
    </row>
    <row r="821">
      <c r="A821" s="34"/>
      <c r="B821" s="34"/>
      <c r="C821" s="34"/>
      <c r="D821" s="34"/>
      <c r="E821" s="34"/>
    </row>
    <row r="822">
      <c r="A822" s="34"/>
      <c r="B822" s="34"/>
      <c r="C822" s="34"/>
      <c r="D822" s="34"/>
      <c r="E822" s="34"/>
    </row>
    <row r="823">
      <c r="A823" s="34"/>
      <c r="B823" s="34"/>
      <c r="C823" s="34"/>
      <c r="D823" s="34"/>
      <c r="E823" s="34"/>
    </row>
    <row r="824">
      <c r="A824" s="34"/>
      <c r="B824" s="34"/>
      <c r="C824" s="34"/>
      <c r="D824" s="34"/>
      <c r="E824" s="34"/>
    </row>
    <row r="825">
      <c r="A825" s="34"/>
      <c r="B825" s="34"/>
      <c r="C825" s="34"/>
      <c r="D825" s="34"/>
      <c r="E825" s="34"/>
    </row>
    <row r="826">
      <c r="A826" s="34"/>
      <c r="B826" s="34"/>
      <c r="C826" s="34"/>
      <c r="D826" s="34"/>
      <c r="E826" s="34"/>
    </row>
    <row r="827">
      <c r="A827" s="34"/>
      <c r="B827" s="34"/>
      <c r="C827" s="34"/>
      <c r="D827" s="34"/>
      <c r="E827" s="34"/>
    </row>
    <row r="828">
      <c r="A828" s="34"/>
      <c r="B828" s="34"/>
      <c r="C828" s="34"/>
      <c r="D828" s="34"/>
      <c r="E828" s="34"/>
    </row>
    <row r="829">
      <c r="A829" s="34"/>
      <c r="B829" s="34"/>
      <c r="C829" s="34"/>
      <c r="D829" s="34"/>
      <c r="E829" s="34"/>
    </row>
    <row r="830">
      <c r="A830" s="34"/>
      <c r="B830" s="34"/>
      <c r="C830" s="34"/>
      <c r="D830" s="34"/>
      <c r="E830" s="34"/>
    </row>
    <row r="831">
      <c r="A831" s="34"/>
      <c r="B831" s="34"/>
      <c r="C831" s="34"/>
      <c r="D831" s="34"/>
      <c r="E831" s="34"/>
    </row>
    <row r="832">
      <c r="A832" s="34"/>
      <c r="B832" s="34"/>
      <c r="C832" s="34"/>
      <c r="D832" s="34"/>
      <c r="E832" s="34"/>
    </row>
    <row r="833">
      <c r="A833" s="34"/>
      <c r="B833" s="34"/>
      <c r="C833" s="34"/>
      <c r="D833" s="34"/>
      <c r="E833" s="34"/>
    </row>
    <row r="834">
      <c r="A834" s="34"/>
      <c r="B834" s="34"/>
      <c r="C834" s="34"/>
      <c r="D834" s="34"/>
      <c r="E834" s="34"/>
    </row>
    <row r="835">
      <c r="A835" s="34"/>
      <c r="B835" s="34"/>
      <c r="C835" s="34"/>
      <c r="D835" s="34"/>
      <c r="E835" s="34"/>
    </row>
    <row r="836">
      <c r="A836" s="34"/>
      <c r="B836" s="34"/>
      <c r="C836" s="34"/>
      <c r="D836" s="34"/>
      <c r="E836" s="34"/>
    </row>
    <row r="837">
      <c r="A837" s="34"/>
      <c r="B837" s="34"/>
      <c r="C837" s="34"/>
      <c r="D837" s="34"/>
      <c r="E837" s="34"/>
    </row>
    <row r="838">
      <c r="A838" s="34"/>
      <c r="B838" s="34"/>
      <c r="C838" s="34"/>
      <c r="D838" s="34"/>
      <c r="E838" s="34"/>
    </row>
    <row r="839">
      <c r="A839" s="34"/>
      <c r="B839" s="34"/>
      <c r="C839" s="34"/>
      <c r="D839" s="34"/>
      <c r="E839" s="34"/>
    </row>
    <row r="840">
      <c r="A840" s="34"/>
      <c r="B840" s="34"/>
      <c r="C840" s="34"/>
      <c r="D840" s="34"/>
      <c r="E840" s="34"/>
    </row>
    <row r="841">
      <c r="A841" s="34"/>
      <c r="B841" s="34"/>
      <c r="C841" s="34"/>
      <c r="D841" s="34"/>
      <c r="E841" s="34"/>
    </row>
    <row r="842">
      <c r="A842" s="34"/>
      <c r="B842" s="34"/>
      <c r="C842" s="34"/>
      <c r="D842" s="34"/>
      <c r="E842" s="34"/>
    </row>
    <row r="843">
      <c r="A843" s="34"/>
      <c r="B843" s="34"/>
      <c r="C843" s="34"/>
      <c r="D843" s="34"/>
      <c r="E843" s="34"/>
    </row>
    <row r="844">
      <c r="A844" s="34"/>
      <c r="B844" s="34"/>
      <c r="C844" s="34"/>
      <c r="D844" s="34"/>
      <c r="E844" s="34"/>
    </row>
    <row r="845">
      <c r="A845" s="34"/>
      <c r="B845" s="34"/>
      <c r="C845" s="34"/>
      <c r="D845" s="34"/>
      <c r="E845" s="34"/>
    </row>
    <row r="846">
      <c r="A846" s="34"/>
      <c r="B846" s="34"/>
      <c r="C846" s="34"/>
      <c r="D846" s="34"/>
      <c r="E846" s="34"/>
    </row>
    <row r="847">
      <c r="A847" s="34"/>
      <c r="B847" s="34"/>
      <c r="C847" s="34"/>
      <c r="D847" s="34"/>
      <c r="E847" s="34"/>
    </row>
    <row r="848">
      <c r="A848" s="34"/>
      <c r="B848" s="34"/>
      <c r="C848" s="34"/>
      <c r="D848" s="34"/>
      <c r="E848" s="34"/>
    </row>
    <row r="849">
      <c r="A849" s="34"/>
      <c r="B849" s="34"/>
      <c r="C849" s="34"/>
      <c r="D849" s="34"/>
      <c r="E849" s="34"/>
    </row>
    <row r="850">
      <c r="A850" s="34"/>
      <c r="B850" s="34"/>
      <c r="C850" s="34"/>
      <c r="D850" s="34"/>
      <c r="E850" s="34"/>
    </row>
    <row r="851">
      <c r="A851" s="34"/>
      <c r="B851" s="34"/>
      <c r="C851" s="34"/>
      <c r="D851" s="34"/>
      <c r="E851" s="34"/>
    </row>
    <row r="852">
      <c r="A852" s="34"/>
      <c r="B852" s="34"/>
      <c r="C852" s="34"/>
      <c r="D852" s="34"/>
      <c r="E852" s="34"/>
    </row>
    <row r="853">
      <c r="A853" s="34"/>
      <c r="B853" s="34"/>
      <c r="C853" s="34"/>
      <c r="D853" s="34"/>
      <c r="E853" s="34"/>
    </row>
    <row r="854">
      <c r="A854" s="34"/>
      <c r="B854" s="34"/>
      <c r="C854" s="34"/>
      <c r="D854" s="34"/>
      <c r="E854" s="34"/>
    </row>
    <row r="855">
      <c r="A855" s="34"/>
      <c r="B855" s="34"/>
      <c r="C855" s="34"/>
      <c r="D855" s="34"/>
      <c r="E855" s="34"/>
    </row>
    <row r="856">
      <c r="A856" s="34"/>
      <c r="B856" s="34"/>
      <c r="C856" s="34"/>
      <c r="D856" s="34"/>
      <c r="E856" s="34"/>
    </row>
    <row r="857">
      <c r="A857" s="34"/>
      <c r="B857" s="34"/>
      <c r="C857" s="34"/>
      <c r="D857" s="34"/>
      <c r="E857" s="34"/>
    </row>
    <row r="858">
      <c r="A858" s="34"/>
      <c r="B858" s="34"/>
      <c r="C858" s="34"/>
      <c r="D858" s="34"/>
      <c r="E858" s="34"/>
    </row>
    <row r="859">
      <c r="A859" s="34"/>
      <c r="B859" s="34"/>
      <c r="C859" s="34"/>
      <c r="D859" s="34"/>
      <c r="E859" s="34"/>
    </row>
    <row r="860">
      <c r="A860" s="34"/>
      <c r="B860" s="34"/>
      <c r="C860" s="34"/>
      <c r="D860" s="34"/>
      <c r="E860" s="34"/>
    </row>
    <row r="861">
      <c r="A861" s="34"/>
      <c r="B861" s="34"/>
      <c r="C861" s="34"/>
      <c r="D861" s="34"/>
      <c r="E861" s="34"/>
    </row>
    <row r="862">
      <c r="A862" s="34"/>
      <c r="B862" s="34"/>
      <c r="C862" s="34"/>
      <c r="D862" s="34"/>
      <c r="E862" s="34"/>
    </row>
    <row r="863">
      <c r="A863" s="34"/>
      <c r="B863" s="34"/>
      <c r="C863" s="34"/>
      <c r="D863" s="34"/>
      <c r="E863" s="34"/>
    </row>
    <row r="864">
      <c r="A864" s="34"/>
      <c r="B864" s="34"/>
      <c r="C864" s="34"/>
      <c r="D864" s="34"/>
      <c r="E864" s="34"/>
    </row>
    <row r="865">
      <c r="A865" s="34"/>
      <c r="B865" s="34"/>
      <c r="C865" s="34"/>
      <c r="D865" s="34"/>
      <c r="E865" s="34"/>
    </row>
    <row r="866">
      <c r="A866" s="34"/>
      <c r="B866" s="34"/>
      <c r="C866" s="34"/>
      <c r="D866" s="34"/>
      <c r="E866" s="34"/>
    </row>
    <row r="867">
      <c r="A867" s="34"/>
      <c r="B867" s="34"/>
      <c r="C867" s="34"/>
      <c r="D867" s="34"/>
      <c r="E867" s="34"/>
    </row>
    <row r="868">
      <c r="A868" s="34"/>
      <c r="B868" s="34"/>
      <c r="C868" s="34"/>
      <c r="D868" s="34"/>
      <c r="E868" s="34"/>
    </row>
    <row r="869">
      <c r="A869" s="34"/>
      <c r="B869" s="34"/>
      <c r="C869" s="34"/>
      <c r="D869" s="34"/>
      <c r="E869" s="34"/>
    </row>
    <row r="870">
      <c r="A870" s="34"/>
      <c r="B870" s="34"/>
      <c r="C870" s="34"/>
      <c r="D870" s="34"/>
      <c r="E870" s="34"/>
    </row>
    <row r="871">
      <c r="A871" s="34"/>
      <c r="B871" s="34"/>
      <c r="C871" s="34"/>
      <c r="D871" s="34"/>
      <c r="E871" s="34"/>
    </row>
    <row r="872">
      <c r="A872" s="34"/>
      <c r="B872" s="34"/>
      <c r="C872" s="34"/>
      <c r="D872" s="34"/>
      <c r="E872" s="34"/>
    </row>
    <row r="873">
      <c r="A873" s="34"/>
      <c r="B873" s="34"/>
      <c r="C873" s="34"/>
      <c r="D873" s="34"/>
      <c r="E873" s="34"/>
    </row>
    <row r="874">
      <c r="A874" s="34"/>
      <c r="B874" s="34"/>
      <c r="C874" s="34"/>
      <c r="D874" s="34"/>
      <c r="E874" s="34"/>
    </row>
    <row r="875">
      <c r="A875" s="34"/>
      <c r="B875" s="34"/>
      <c r="C875" s="34"/>
      <c r="D875" s="34"/>
      <c r="E875" s="34"/>
    </row>
    <row r="876">
      <c r="A876" s="34"/>
      <c r="B876" s="34"/>
      <c r="C876" s="34"/>
      <c r="D876" s="34"/>
      <c r="E876" s="34"/>
    </row>
    <row r="877">
      <c r="A877" s="34"/>
      <c r="B877" s="34"/>
      <c r="C877" s="34"/>
      <c r="D877" s="34"/>
      <c r="E877" s="34"/>
    </row>
    <row r="878">
      <c r="A878" s="34"/>
      <c r="B878" s="34"/>
      <c r="C878" s="34"/>
      <c r="D878" s="34"/>
      <c r="E878" s="34"/>
    </row>
    <row r="879">
      <c r="A879" s="34"/>
      <c r="B879" s="34"/>
      <c r="C879" s="34"/>
      <c r="D879" s="34"/>
      <c r="E879" s="34"/>
    </row>
    <row r="880">
      <c r="A880" s="34"/>
      <c r="B880" s="34"/>
      <c r="C880" s="34"/>
      <c r="D880" s="34"/>
      <c r="E880" s="34"/>
    </row>
    <row r="881">
      <c r="A881" s="34"/>
      <c r="B881" s="34"/>
      <c r="C881" s="34"/>
      <c r="D881" s="34"/>
      <c r="E881" s="34"/>
    </row>
    <row r="882">
      <c r="A882" s="34"/>
      <c r="B882" s="34"/>
      <c r="C882" s="34"/>
      <c r="D882" s="34"/>
      <c r="E882" s="34"/>
    </row>
    <row r="883">
      <c r="A883" s="34"/>
      <c r="B883" s="34"/>
      <c r="C883" s="34"/>
      <c r="D883" s="34"/>
      <c r="E883" s="34"/>
    </row>
    <row r="884">
      <c r="A884" s="34"/>
      <c r="B884" s="34"/>
      <c r="C884" s="34"/>
      <c r="D884" s="34"/>
      <c r="E884" s="34"/>
    </row>
    <row r="885">
      <c r="A885" s="34"/>
      <c r="B885" s="34"/>
      <c r="C885" s="34"/>
      <c r="D885" s="34"/>
      <c r="E885" s="34"/>
    </row>
    <row r="886">
      <c r="A886" s="34"/>
      <c r="B886" s="34"/>
      <c r="C886" s="34"/>
      <c r="D886" s="34"/>
      <c r="E886" s="34"/>
    </row>
    <row r="887">
      <c r="A887" s="34"/>
      <c r="B887" s="34"/>
      <c r="C887" s="34"/>
      <c r="D887" s="34"/>
      <c r="E887" s="34"/>
    </row>
    <row r="888">
      <c r="A888" s="34"/>
      <c r="B888" s="34"/>
      <c r="C888" s="34"/>
      <c r="D888" s="34"/>
      <c r="E888" s="34"/>
    </row>
    <row r="889">
      <c r="A889" s="34"/>
      <c r="B889" s="34"/>
      <c r="C889" s="34"/>
      <c r="D889" s="34"/>
      <c r="E889" s="34"/>
    </row>
    <row r="890">
      <c r="A890" s="34"/>
      <c r="B890" s="34"/>
      <c r="C890" s="34"/>
      <c r="D890" s="34"/>
      <c r="E890" s="34"/>
    </row>
    <row r="891">
      <c r="A891" s="34"/>
      <c r="B891" s="34"/>
      <c r="C891" s="34"/>
      <c r="D891" s="34"/>
      <c r="E891" s="34"/>
    </row>
    <row r="892">
      <c r="A892" s="34"/>
      <c r="B892" s="34"/>
      <c r="C892" s="34"/>
      <c r="D892" s="34"/>
      <c r="E892" s="34"/>
    </row>
    <row r="893">
      <c r="A893" s="34"/>
      <c r="B893" s="34"/>
      <c r="C893" s="34"/>
      <c r="D893" s="34"/>
      <c r="E893" s="34"/>
    </row>
    <row r="894">
      <c r="A894" s="34"/>
      <c r="B894" s="34"/>
      <c r="C894" s="34"/>
      <c r="D894" s="34"/>
      <c r="E894" s="34"/>
    </row>
    <row r="895">
      <c r="A895" s="34"/>
      <c r="B895" s="34"/>
      <c r="C895" s="34"/>
      <c r="D895" s="34"/>
      <c r="E895" s="34"/>
    </row>
    <row r="896">
      <c r="A896" s="34"/>
      <c r="B896" s="34"/>
      <c r="C896" s="34"/>
      <c r="D896" s="34"/>
      <c r="E896" s="34"/>
    </row>
    <row r="897">
      <c r="A897" s="34"/>
      <c r="B897" s="34"/>
      <c r="C897" s="34"/>
      <c r="D897" s="34"/>
      <c r="E897" s="34"/>
    </row>
    <row r="898">
      <c r="A898" s="34"/>
      <c r="B898" s="34"/>
      <c r="C898" s="34"/>
      <c r="D898" s="34"/>
      <c r="E898" s="34"/>
    </row>
    <row r="899">
      <c r="A899" s="34"/>
      <c r="B899" s="34"/>
      <c r="C899" s="34"/>
      <c r="D899" s="34"/>
      <c r="E899" s="34"/>
    </row>
    <row r="900">
      <c r="A900" s="34"/>
      <c r="B900" s="34"/>
      <c r="C900" s="34"/>
      <c r="D900" s="34"/>
      <c r="E900" s="34"/>
    </row>
    <row r="901">
      <c r="A901" s="34"/>
      <c r="B901" s="34"/>
      <c r="C901" s="34"/>
      <c r="D901" s="34"/>
      <c r="E901" s="34"/>
    </row>
    <row r="902">
      <c r="A902" s="34"/>
      <c r="B902" s="34"/>
      <c r="C902" s="34"/>
      <c r="D902" s="34"/>
      <c r="E902" s="34"/>
    </row>
    <row r="903">
      <c r="A903" s="34"/>
      <c r="B903" s="34"/>
      <c r="C903" s="34"/>
      <c r="D903" s="34"/>
      <c r="E903" s="34"/>
    </row>
    <row r="904">
      <c r="A904" s="34"/>
      <c r="B904" s="34"/>
      <c r="C904" s="34"/>
      <c r="D904" s="34"/>
      <c r="E904" s="34"/>
    </row>
    <row r="905">
      <c r="A905" s="34"/>
      <c r="B905" s="34"/>
      <c r="C905" s="34"/>
      <c r="D905" s="34"/>
      <c r="E905" s="34"/>
    </row>
    <row r="906">
      <c r="A906" s="34"/>
      <c r="B906" s="34"/>
      <c r="C906" s="34"/>
      <c r="D906" s="34"/>
      <c r="E906" s="34"/>
    </row>
    <row r="907">
      <c r="A907" s="34"/>
      <c r="B907" s="34"/>
      <c r="C907" s="34"/>
      <c r="D907" s="34"/>
      <c r="E907" s="34"/>
    </row>
    <row r="908">
      <c r="A908" s="34"/>
      <c r="B908" s="34"/>
      <c r="C908" s="34"/>
      <c r="D908" s="34"/>
      <c r="E908" s="34"/>
    </row>
    <row r="909">
      <c r="A909" s="34"/>
      <c r="B909" s="34"/>
      <c r="C909" s="34"/>
      <c r="D909" s="34"/>
      <c r="E909" s="34"/>
    </row>
    <row r="910">
      <c r="A910" s="34"/>
      <c r="B910" s="34"/>
      <c r="C910" s="34"/>
      <c r="D910" s="34"/>
      <c r="E910" s="34"/>
    </row>
    <row r="911">
      <c r="A911" s="34"/>
      <c r="B911" s="34"/>
      <c r="C911" s="34"/>
      <c r="D911" s="34"/>
      <c r="E911" s="34"/>
    </row>
    <row r="912">
      <c r="A912" s="34"/>
      <c r="B912" s="34"/>
      <c r="C912" s="34"/>
      <c r="D912" s="34"/>
      <c r="E912" s="34"/>
    </row>
    <row r="913">
      <c r="A913" s="34"/>
      <c r="B913" s="34"/>
      <c r="C913" s="34"/>
      <c r="D913" s="34"/>
      <c r="E913" s="34"/>
    </row>
    <row r="914">
      <c r="A914" s="34"/>
      <c r="B914" s="34"/>
      <c r="C914" s="34"/>
      <c r="D914" s="34"/>
      <c r="E914" s="34"/>
    </row>
    <row r="915">
      <c r="A915" s="34"/>
      <c r="B915" s="34"/>
      <c r="C915" s="34"/>
      <c r="D915" s="34"/>
      <c r="E915" s="34"/>
    </row>
    <row r="916">
      <c r="A916" s="34"/>
      <c r="B916" s="34"/>
      <c r="C916" s="34"/>
      <c r="D916" s="34"/>
      <c r="E916" s="34"/>
    </row>
    <row r="917">
      <c r="A917" s="34"/>
      <c r="B917" s="34"/>
      <c r="C917" s="34"/>
      <c r="D917" s="34"/>
      <c r="E917" s="34"/>
    </row>
    <row r="918">
      <c r="A918" s="34"/>
      <c r="B918" s="34"/>
      <c r="C918" s="34"/>
      <c r="D918" s="34"/>
      <c r="E918" s="34"/>
    </row>
    <row r="919">
      <c r="A919" s="34"/>
      <c r="B919" s="34"/>
      <c r="C919" s="34"/>
      <c r="D919" s="34"/>
      <c r="E919" s="34"/>
    </row>
    <row r="920">
      <c r="A920" s="34"/>
      <c r="B920" s="34"/>
      <c r="C920" s="34"/>
      <c r="D920" s="34"/>
      <c r="E920" s="34"/>
    </row>
    <row r="921">
      <c r="A921" s="34"/>
      <c r="B921" s="34"/>
      <c r="C921" s="34"/>
      <c r="D921" s="34"/>
      <c r="E921" s="34"/>
    </row>
    <row r="922">
      <c r="A922" s="34"/>
      <c r="B922" s="34"/>
      <c r="C922" s="34"/>
      <c r="D922" s="34"/>
      <c r="E922" s="34"/>
    </row>
    <row r="923">
      <c r="A923" s="34"/>
      <c r="B923" s="34"/>
      <c r="C923" s="34"/>
      <c r="D923" s="34"/>
      <c r="E923" s="34"/>
    </row>
    <row r="924">
      <c r="A924" s="34"/>
      <c r="B924" s="34"/>
      <c r="C924" s="34"/>
      <c r="D924" s="34"/>
      <c r="E924" s="34"/>
    </row>
    <row r="925">
      <c r="A925" s="34"/>
      <c r="B925" s="34"/>
      <c r="C925" s="34"/>
      <c r="D925" s="34"/>
      <c r="E925" s="34"/>
    </row>
    <row r="926">
      <c r="A926" s="34"/>
      <c r="B926" s="34"/>
      <c r="C926" s="34"/>
      <c r="D926" s="34"/>
      <c r="E926" s="34"/>
    </row>
    <row r="927">
      <c r="A927" s="34"/>
      <c r="B927" s="34"/>
      <c r="C927" s="34"/>
      <c r="D927" s="34"/>
      <c r="E927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tr">
        <f>IFERROR(__xludf.DUMMYFUNCTION("IMPORTRANGE(""https://docs.google.com/spreadsheets/d/1uL7u7wi-N6XMNaiiEn8EgL1KwO9D93ItEOaOTxWgeIE/edit?gid=0#gid=0"", ""Outbound!A:D"")"),"Nama Barang")</f>
        <v>Nama Barang</v>
      </c>
      <c r="B1" s="34" t="str">
        <f>IFERROR(__xludf.DUMMYFUNCTION("""COMPUTED_VALUE"""),"Quantity")</f>
        <v>Quantity</v>
      </c>
      <c r="C1" s="34" t="str">
        <f>IFERROR(__xludf.DUMMYFUNCTION("""COMPUTED_VALUE""")," Tanggal")</f>
        <v> Tanggal</v>
      </c>
      <c r="D1" s="34" t="str">
        <f>IFERROR(__xludf.DUMMYFUNCTION("""COMPUTED_VALUE"""),"NAMA")</f>
        <v>NAMA</v>
      </c>
    </row>
    <row r="2">
      <c r="A2" s="34" t="str">
        <f>IFERROR(__xludf.DUMMYFUNCTION("""COMPUTED_VALUE"""),"MASKER")</f>
        <v>MASKER</v>
      </c>
      <c r="B2" s="34">
        <f>IFERROR(__xludf.DUMMYFUNCTION("""COMPUTED_VALUE"""),1.0)</f>
        <v>1</v>
      </c>
      <c r="C2" s="37">
        <f>IFERROR(__xludf.DUMMYFUNCTION("""COMPUTED_VALUE"""),46132.0)</f>
        <v>46132</v>
      </c>
      <c r="D2" s="34" t="str">
        <f>IFERROR(__xludf.DUMMYFUNCTION("""COMPUTED_VALUE"""),"ILYAS")</f>
        <v>ILYAS</v>
      </c>
    </row>
    <row r="3">
      <c r="A3" s="34" t="str">
        <f>IFERROR(__xludf.DUMMYFUNCTION("""COMPUTED_VALUE"""),"LATEX SARUNG TANGAN ")</f>
        <v>LATEX SARUNG TANGAN </v>
      </c>
      <c r="B3" s="34">
        <f>IFERROR(__xludf.DUMMYFUNCTION("""COMPUTED_VALUE"""),1.0)</f>
        <v>1</v>
      </c>
      <c r="C3" s="37">
        <f>IFERROR(__xludf.DUMMYFUNCTION("""COMPUTED_VALUE"""),46132.0)</f>
        <v>46132</v>
      </c>
      <c r="D3" s="34" t="str">
        <f>IFERROR(__xludf.DUMMYFUNCTION("""COMPUTED_VALUE"""),"ILYAS")</f>
        <v>ILYAS</v>
      </c>
    </row>
    <row r="4">
      <c r="A4" s="34" t="str">
        <f>IFERROR(__xludf.DUMMYFUNCTION("""COMPUTED_VALUE"""),"TISSUE")</f>
        <v>TISSUE</v>
      </c>
      <c r="B4" s="34">
        <f>IFERROR(__xludf.DUMMYFUNCTION("""COMPUTED_VALUE"""),1.0)</f>
        <v>1</v>
      </c>
      <c r="C4" s="37">
        <f>IFERROR(__xludf.DUMMYFUNCTION("""COMPUTED_VALUE"""),46132.0)</f>
        <v>46132</v>
      </c>
      <c r="D4" s="34" t="str">
        <f>IFERROR(__xludf.DUMMYFUNCTION("""COMPUTED_VALUE"""),"ILYAS")</f>
        <v>ILYAS</v>
      </c>
    </row>
    <row r="5">
      <c r="A5" s="34" t="str">
        <f>IFERROR(__xludf.DUMMYFUNCTION("""COMPUTED_VALUE"""),"MASKER")</f>
        <v>MASKER</v>
      </c>
      <c r="B5" s="34">
        <f>IFERROR(__xludf.DUMMYFUNCTION("""COMPUTED_VALUE"""),2.0)</f>
        <v>2</v>
      </c>
      <c r="C5" s="37">
        <f>IFERROR(__xludf.DUMMYFUNCTION("""COMPUTED_VALUE"""),46132.0)</f>
        <v>46132</v>
      </c>
      <c r="D5" s="34" t="str">
        <f>IFERROR(__xludf.DUMMYFUNCTION("""COMPUTED_VALUE"""),"BAGAS")</f>
        <v>BAGAS</v>
      </c>
    </row>
    <row r="6">
      <c r="A6" s="34" t="str">
        <f>IFERROR(__xludf.DUMMYFUNCTION("""COMPUTED_VALUE"""),"LATEX SARUNG TANGAN ")</f>
        <v>LATEX SARUNG TANGAN </v>
      </c>
      <c r="B6" s="34">
        <f>IFERROR(__xludf.DUMMYFUNCTION("""COMPUTED_VALUE"""),2.0)</f>
        <v>2</v>
      </c>
      <c r="C6" s="37">
        <f>IFERROR(__xludf.DUMMYFUNCTION("""COMPUTED_VALUE"""),46132.0)</f>
        <v>46132</v>
      </c>
      <c r="D6" s="34" t="str">
        <f>IFERROR(__xludf.DUMMYFUNCTION("""COMPUTED_VALUE"""),"BAGAS")</f>
        <v>BAGAS</v>
      </c>
    </row>
    <row r="7">
      <c r="A7" s="34" t="str">
        <f>IFERROR(__xludf.DUMMYFUNCTION("""COMPUTED_VALUE"""),"TISSUE")</f>
        <v>TISSUE</v>
      </c>
      <c r="B7" s="34">
        <f>IFERROR(__xludf.DUMMYFUNCTION("""COMPUTED_VALUE"""),1.0)</f>
        <v>1</v>
      </c>
      <c r="C7" s="37">
        <f>IFERROR(__xludf.DUMMYFUNCTION("""COMPUTED_VALUE"""),46132.0)</f>
        <v>46132</v>
      </c>
      <c r="D7" s="34" t="str">
        <f>IFERROR(__xludf.DUMMYFUNCTION("""COMPUTED_VALUE"""),"PANTRY")</f>
        <v>PANTRY</v>
      </c>
    </row>
    <row r="8">
      <c r="A8" s="34" t="str">
        <f>IFERROR(__xludf.DUMMYFUNCTION("""COMPUTED_VALUE"""),"TISSUE")</f>
        <v>TISSUE</v>
      </c>
      <c r="B8" s="34">
        <f>IFERROR(__xludf.DUMMYFUNCTION("""COMPUTED_VALUE"""),2.0)</f>
        <v>2</v>
      </c>
      <c r="C8" s="37">
        <f>IFERROR(__xludf.DUMMYFUNCTION("""COMPUTED_VALUE"""),46132.0)</f>
        <v>46132</v>
      </c>
      <c r="D8" s="34" t="str">
        <f>IFERROR(__xludf.DUMMYFUNCTION("""COMPUTED_VALUE"""),"BAGAS")</f>
        <v>BAGAS</v>
      </c>
    </row>
    <row r="9">
      <c r="A9" s="34" t="str">
        <f>IFERROR(__xludf.DUMMYFUNCTION("""COMPUTED_VALUE"""),"MASKER")</f>
        <v>MASKER</v>
      </c>
      <c r="B9" s="34">
        <f>IFERROR(__xludf.DUMMYFUNCTION("""COMPUTED_VALUE"""),1.0)</f>
        <v>1</v>
      </c>
      <c r="C9" s="37">
        <f>IFERROR(__xludf.DUMMYFUNCTION("""COMPUTED_VALUE"""),46132.0)</f>
        <v>46132</v>
      </c>
      <c r="D9" s="34" t="str">
        <f>IFERROR(__xludf.DUMMYFUNCTION("""COMPUTED_VALUE"""),"ANISA")</f>
        <v>ANISA</v>
      </c>
    </row>
    <row r="10">
      <c r="A10" s="34" t="str">
        <f>IFERROR(__xludf.DUMMYFUNCTION("""COMPUTED_VALUE"""),"DOUBLE TAPE FOAM")</f>
        <v>DOUBLE TAPE FOAM</v>
      </c>
      <c r="B10" s="34">
        <f>IFERROR(__xludf.DUMMYFUNCTION("""COMPUTED_VALUE"""),2.0)</f>
        <v>2</v>
      </c>
      <c r="C10" s="37">
        <f>IFERROR(__xludf.DUMMYFUNCTION("""COMPUTED_VALUE"""),46132.0)</f>
        <v>46132</v>
      </c>
      <c r="D10" s="34" t="str">
        <f>IFERROR(__xludf.DUMMYFUNCTION("""COMPUTED_VALUE"""),"RND")</f>
        <v>RND</v>
      </c>
    </row>
    <row r="11">
      <c r="A11" s="34" t="str">
        <f>IFERROR(__xludf.DUMMYFUNCTION("""COMPUTED_VALUE"""),"DOUBLE TAPE PUTIH")</f>
        <v>DOUBLE TAPE PUTIH</v>
      </c>
      <c r="B11" s="34">
        <f>IFERROR(__xludf.DUMMYFUNCTION("""COMPUTED_VALUE"""),3.0)</f>
        <v>3</v>
      </c>
      <c r="C11" s="37">
        <f>IFERROR(__xludf.DUMMYFUNCTION("""COMPUTED_VALUE"""),46132.0)</f>
        <v>46132</v>
      </c>
      <c r="D11" s="34" t="str">
        <f>IFERROR(__xludf.DUMMYFUNCTION("""COMPUTED_VALUE"""),"RND")</f>
        <v>RND</v>
      </c>
    </row>
    <row r="12">
      <c r="A12" s="34" t="str">
        <f>IFERROR(__xludf.DUMMYFUNCTION("""COMPUTED_VALUE"""),"ISI CUTTER")</f>
        <v>ISI CUTTER</v>
      </c>
      <c r="B12" s="34">
        <f>IFERROR(__xludf.DUMMYFUNCTION("""COMPUTED_VALUE"""),1.0)</f>
        <v>1</v>
      </c>
      <c r="C12" s="37">
        <f>IFERROR(__xludf.DUMMYFUNCTION("""COMPUTED_VALUE"""),46132.0)</f>
        <v>46132</v>
      </c>
      <c r="D12" s="34" t="str">
        <f>IFERROR(__xludf.DUMMYFUNCTION("""COMPUTED_VALUE"""),"RND")</f>
        <v>RND</v>
      </c>
    </row>
    <row r="13">
      <c r="A13" s="34" t="str">
        <f>IFERROR(__xludf.DUMMYFUNCTION("""COMPUTED_VALUE"""),"PEMBERSIH KACA")</f>
        <v>PEMBERSIH KACA</v>
      </c>
      <c r="B13" s="34">
        <f>IFERROR(__xludf.DUMMYFUNCTION("""COMPUTED_VALUE"""),1.0)</f>
        <v>1</v>
      </c>
      <c r="C13" s="37">
        <f>IFERROR(__xludf.DUMMYFUNCTION("""COMPUTED_VALUE"""),46132.0)</f>
        <v>46132</v>
      </c>
      <c r="D13" s="34" t="str">
        <f>IFERROR(__xludf.DUMMYFUNCTION("""COMPUTED_VALUE"""),"RND")</f>
        <v>RND</v>
      </c>
    </row>
    <row r="14">
      <c r="A14" s="34" t="str">
        <f>IFERROR(__xludf.DUMMYFUNCTION("""COMPUTED_VALUE"""),"SAPU LANTAI")</f>
        <v>SAPU LANTAI</v>
      </c>
      <c r="B14" s="34">
        <f>IFERROR(__xludf.DUMMYFUNCTION("""COMPUTED_VALUE"""),1.0)</f>
        <v>1</v>
      </c>
      <c r="C14" s="37">
        <f>IFERROR(__xludf.DUMMYFUNCTION("""COMPUTED_VALUE"""),46132.0)</f>
        <v>46132</v>
      </c>
      <c r="D14" s="34" t="str">
        <f>IFERROR(__xludf.DUMMYFUNCTION("""COMPUTED_VALUE"""),"RND")</f>
        <v>RND</v>
      </c>
    </row>
    <row r="15">
      <c r="A15" s="34" t="str">
        <f>IFERROR(__xludf.DUMMYFUNCTION("""COMPUTED_VALUE"""),"MASKER")</f>
        <v>MASKER</v>
      </c>
      <c r="B15" s="34">
        <f>IFERROR(__xludf.DUMMYFUNCTION("""COMPUTED_VALUE"""),1.0)</f>
        <v>1</v>
      </c>
      <c r="C15" s="37">
        <f>IFERROR(__xludf.DUMMYFUNCTION("""COMPUTED_VALUE"""),46133.0)</f>
        <v>46133</v>
      </c>
      <c r="D15" s="34" t="str">
        <f>IFERROR(__xludf.DUMMYFUNCTION("""COMPUTED_VALUE"""),"RND")</f>
        <v>RND</v>
      </c>
    </row>
    <row r="16">
      <c r="A16" s="34" t="str">
        <f>IFERROR(__xludf.DUMMYFUNCTION("""COMPUTED_VALUE"""),"KOTAK TISSUE")</f>
        <v>KOTAK TISSUE</v>
      </c>
      <c r="B16" s="34">
        <f>IFERROR(__xludf.DUMMYFUNCTION("""COMPUTED_VALUE"""),3.0)</f>
        <v>3</v>
      </c>
      <c r="C16" s="37">
        <f>IFERROR(__xludf.DUMMYFUNCTION("""COMPUTED_VALUE"""),46133.0)</f>
        <v>46133</v>
      </c>
      <c r="D16" s="34" t="str">
        <f>IFERROR(__xludf.DUMMYFUNCTION("""COMPUTED_VALUE"""),"RND")</f>
        <v>RND</v>
      </c>
    </row>
    <row r="17">
      <c r="A17" s="34" t="str">
        <f>IFERROR(__xludf.DUMMYFUNCTION("""COMPUTED_VALUE"""),"KOTAK SAMPAH KECIL")</f>
        <v>KOTAK SAMPAH KECIL</v>
      </c>
      <c r="B17" s="34">
        <f>IFERROR(__xludf.DUMMYFUNCTION("""COMPUTED_VALUE"""),3.0)</f>
        <v>3</v>
      </c>
      <c r="C17" s="37">
        <f>IFERROR(__xludf.DUMMYFUNCTION("""COMPUTED_VALUE"""),46133.0)</f>
        <v>46133</v>
      </c>
      <c r="D17" s="34" t="str">
        <f>IFERROR(__xludf.DUMMYFUNCTION("""COMPUTED_VALUE"""),"RND")</f>
        <v>RND</v>
      </c>
    </row>
    <row r="18">
      <c r="A18" s="34" t="str">
        <f>IFERROR(__xludf.DUMMYFUNCTION("""COMPUTED_VALUE"""),"MASKER")</f>
        <v>MASKER</v>
      </c>
      <c r="B18" s="34">
        <f>IFERROR(__xludf.DUMMYFUNCTION("""COMPUTED_VALUE"""),1.0)</f>
        <v>1</v>
      </c>
      <c r="C18" s="37">
        <f>IFERROR(__xludf.DUMMYFUNCTION("""COMPUTED_VALUE"""),46133.0)</f>
        <v>46133</v>
      </c>
      <c r="D18" s="34" t="str">
        <f>IFERROR(__xludf.DUMMYFUNCTION("""COMPUTED_VALUE"""),"RND")</f>
        <v>RND</v>
      </c>
    </row>
    <row r="19">
      <c r="A19" s="34" t="str">
        <f>IFERROR(__xludf.DUMMYFUNCTION("""COMPUTED_VALUE"""),"TISSUE")</f>
        <v>TISSUE</v>
      </c>
      <c r="B19" s="34">
        <f>IFERROR(__xludf.DUMMYFUNCTION("""COMPUTED_VALUE"""),3.0)</f>
        <v>3</v>
      </c>
      <c r="C19" s="37">
        <f>IFERROR(__xludf.DUMMYFUNCTION("""COMPUTED_VALUE"""),46133.0)</f>
        <v>46133</v>
      </c>
      <c r="D19" s="34" t="str">
        <f>IFERROR(__xludf.DUMMYFUNCTION("""COMPUTED_VALUE"""),"RND")</f>
        <v>RND</v>
      </c>
    </row>
    <row r="20">
      <c r="A20" s="34" t="str">
        <f>IFERROR(__xludf.DUMMYFUNCTION("""COMPUTED_VALUE"""),"LATEX SARUNG TANGAN ")</f>
        <v>LATEX SARUNG TANGAN </v>
      </c>
      <c r="B20" s="34">
        <f>IFERROR(__xludf.DUMMYFUNCTION("""COMPUTED_VALUE"""),1.0)</f>
        <v>1</v>
      </c>
      <c r="C20" s="37">
        <f>IFERROR(__xludf.DUMMYFUNCTION("""COMPUTED_VALUE"""),46133.0)</f>
        <v>46133</v>
      </c>
      <c r="D20" s="34" t="str">
        <f>IFERROR(__xludf.DUMMYFUNCTION("""COMPUTED_VALUE"""),"RND")</f>
        <v>RND</v>
      </c>
    </row>
    <row r="21">
      <c r="A21" s="34" t="str">
        <f>IFERROR(__xludf.DUMMYFUNCTION("""COMPUTED_VALUE"""),"HANDSPLAST WARNA WARNI")</f>
        <v>HANDSPLAST WARNA WARNI</v>
      </c>
      <c r="B21" s="34">
        <f>IFERROR(__xludf.DUMMYFUNCTION("""COMPUTED_VALUE"""),1.0)</f>
        <v>1</v>
      </c>
      <c r="C21" s="37">
        <f>IFERROR(__xludf.DUMMYFUNCTION("""COMPUTED_VALUE"""),46133.0)</f>
        <v>46133</v>
      </c>
      <c r="D21" s="34" t="str">
        <f>IFERROR(__xludf.DUMMYFUNCTION("""COMPUTED_VALUE"""),"PAK DONI")</f>
        <v>PAK DONI</v>
      </c>
    </row>
    <row r="22">
      <c r="A22" s="34" t="str">
        <f>IFERROR(__xludf.DUMMYFUNCTION("""COMPUTED_VALUE"""),"BETADINE")</f>
        <v>BETADINE</v>
      </c>
      <c r="B22" s="34">
        <f>IFERROR(__xludf.DUMMYFUNCTION("""COMPUTED_VALUE"""),1.0)</f>
        <v>1</v>
      </c>
      <c r="C22" s="37">
        <f>IFERROR(__xludf.DUMMYFUNCTION("""COMPUTED_VALUE"""),46133.0)</f>
        <v>46133</v>
      </c>
      <c r="D22" s="34" t="str">
        <f>IFERROR(__xludf.DUMMYFUNCTION("""COMPUTED_VALUE"""),"PAK DONI")</f>
        <v>PAK DONI</v>
      </c>
    </row>
    <row r="23">
      <c r="A23" s="34" t="str">
        <f>IFERROR(__xludf.DUMMYFUNCTION("""COMPUTED_VALUE"""),"BETADINE")</f>
        <v>BETADINE</v>
      </c>
      <c r="B23" s="34">
        <f>IFERROR(__xludf.DUMMYFUNCTION("""COMPUTED_VALUE"""),1.0)</f>
        <v>1</v>
      </c>
      <c r="C23" s="37">
        <f>IFERROR(__xludf.DUMMYFUNCTION("""COMPUTED_VALUE"""),46133.0)</f>
        <v>46133</v>
      </c>
      <c r="D23" s="34" t="str">
        <f>IFERROR(__xludf.DUMMYFUNCTION("""COMPUTED_VALUE"""),"AINI")</f>
        <v>AINI</v>
      </c>
    </row>
    <row r="24">
      <c r="A24" s="34" t="str">
        <f>IFERROR(__xludf.DUMMYFUNCTION("""COMPUTED_VALUE"""),"HANDSPLAST WARNA WARNI")</f>
        <v>HANDSPLAST WARNA WARNI</v>
      </c>
      <c r="B24" s="34">
        <f>IFERROR(__xludf.DUMMYFUNCTION("""COMPUTED_VALUE"""),1.0)</f>
        <v>1</v>
      </c>
      <c r="C24" s="37">
        <f>IFERROR(__xludf.DUMMYFUNCTION("""COMPUTED_VALUE"""),46133.0)</f>
        <v>46133</v>
      </c>
      <c r="D24" s="34" t="str">
        <f>IFERROR(__xludf.DUMMYFUNCTION("""COMPUTED_VALUE"""),"AINI")</f>
        <v>AINI</v>
      </c>
    </row>
    <row r="25">
      <c r="A25" s="34" t="str">
        <f>IFERROR(__xludf.DUMMYFUNCTION("""COMPUTED_VALUE"""),"PULPEN HITAM")</f>
        <v>PULPEN HITAM</v>
      </c>
      <c r="B25" s="34">
        <f>IFERROR(__xludf.DUMMYFUNCTION("""COMPUTED_VALUE"""),6.0)</f>
        <v>6</v>
      </c>
      <c r="C25" s="37">
        <f>IFERROR(__xludf.DUMMYFUNCTION("""COMPUTED_VALUE"""),46133.0)</f>
        <v>46133</v>
      </c>
      <c r="D25" s="34" t="str">
        <f>IFERROR(__xludf.DUMMYFUNCTION("""COMPUTED_VALUE"""),"AINI")</f>
        <v>AINI</v>
      </c>
    </row>
    <row r="26">
      <c r="A26" s="34" t="str">
        <f>IFERROR(__xludf.DUMMYFUNCTION("""COMPUTED_VALUE"""),"PARACETAMOL")</f>
        <v>PARACETAMOL</v>
      </c>
      <c r="B26" s="34">
        <f>IFERROR(__xludf.DUMMYFUNCTION("""COMPUTED_VALUE"""),2.0)</f>
        <v>2</v>
      </c>
      <c r="C26" s="37">
        <f>IFERROR(__xludf.DUMMYFUNCTION("""COMPUTED_VALUE"""),46133.0)</f>
        <v>46133</v>
      </c>
      <c r="D26" s="34" t="str">
        <f>IFERROR(__xludf.DUMMYFUNCTION("""COMPUTED_VALUE"""),"AINI")</f>
        <v>AINI</v>
      </c>
    </row>
    <row r="27">
      <c r="A27" s="34" t="str">
        <f>IFERROR(__xludf.DUMMYFUNCTION("""COMPUTED_VALUE"""),"SALONPAS")</f>
        <v>SALONPAS</v>
      </c>
      <c r="B27" s="34">
        <f>IFERROR(__xludf.DUMMYFUNCTION("""COMPUTED_VALUE"""),1.0)</f>
        <v>1</v>
      </c>
      <c r="C27" s="37">
        <f>IFERROR(__xludf.DUMMYFUNCTION("""COMPUTED_VALUE"""),46133.0)</f>
        <v>46133</v>
      </c>
      <c r="D27" s="34" t="str">
        <f>IFERROR(__xludf.DUMMYFUNCTION("""COMPUTED_VALUE"""),"AINI")</f>
        <v>AINI</v>
      </c>
    </row>
    <row r="28">
      <c r="A28" s="34" t="str">
        <f>IFERROR(__xludf.DUMMYFUNCTION("""COMPUTED_VALUE"""),"TOPRON PEMBERSIH KERAMIK , PORCELAIN BOTOL 1 LITER ")</f>
        <v>TOPRON PEMBERSIH KERAMIK , PORCELAIN BOTOL 1 LITER </v>
      </c>
      <c r="B28" s="34">
        <f>IFERROR(__xludf.DUMMYFUNCTION("""COMPUTED_VALUE"""),1.0)</f>
        <v>1</v>
      </c>
      <c r="C28" s="37">
        <f>IFERROR(__xludf.DUMMYFUNCTION("""COMPUTED_VALUE"""),46133.0)</f>
        <v>46133</v>
      </c>
      <c r="D28" s="34" t="str">
        <f>IFERROR(__xludf.DUMMYFUNCTION("""COMPUTED_VALUE"""),"FAREL")</f>
        <v>FAREL</v>
      </c>
    </row>
    <row r="29">
      <c r="A29" s="34" t="str">
        <f>IFERROR(__xludf.DUMMYFUNCTION("""COMPUTED_VALUE"""),"PORSTEX")</f>
        <v>PORSTEX</v>
      </c>
      <c r="B29" s="34">
        <f>IFERROR(__xludf.DUMMYFUNCTION("""COMPUTED_VALUE"""),2.0)</f>
        <v>2</v>
      </c>
      <c r="C29" s="37">
        <f>IFERROR(__xludf.DUMMYFUNCTION("""COMPUTED_VALUE"""),46133.0)</f>
        <v>46133</v>
      </c>
      <c r="D29" s="34" t="str">
        <f>IFERROR(__xludf.DUMMYFUNCTION("""COMPUTED_VALUE"""),"FAREL")</f>
        <v>FAREL</v>
      </c>
    </row>
    <row r="30">
      <c r="A30" s="34" t="str">
        <f>IFERROR(__xludf.DUMMYFUNCTION("""COMPUTED_VALUE"""),"AIR MINERAL")</f>
        <v>AIR MINERAL</v>
      </c>
      <c r="B30" s="34">
        <f>IFERROR(__xludf.DUMMYFUNCTION("""COMPUTED_VALUE"""),24.0)</f>
        <v>24</v>
      </c>
      <c r="C30" s="37">
        <f>IFERROR(__xludf.DUMMYFUNCTION("""COMPUTED_VALUE"""),46133.0)</f>
        <v>46133</v>
      </c>
      <c r="D30" s="34" t="str">
        <f>IFERROR(__xludf.DUMMYFUNCTION("""COMPUTED_VALUE"""),"HARIYANTO")</f>
        <v>HARIYANTO</v>
      </c>
    </row>
    <row r="31">
      <c r="A31" s="34" t="str">
        <f>IFERROR(__xludf.DUMMYFUNCTION("""COMPUTED_VALUE"""),"TEH BOTOL")</f>
        <v>TEH BOTOL</v>
      </c>
      <c r="B31" s="34">
        <f>IFERROR(__xludf.DUMMYFUNCTION("""COMPUTED_VALUE"""),24.0)</f>
        <v>24</v>
      </c>
      <c r="C31" s="37">
        <f>IFERROR(__xludf.DUMMYFUNCTION("""COMPUTED_VALUE"""),46133.0)</f>
        <v>46133</v>
      </c>
      <c r="D31" s="34" t="str">
        <f>IFERROR(__xludf.DUMMYFUNCTION("""COMPUTED_VALUE"""),"HARIYANTO")</f>
        <v>HARIYANTO</v>
      </c>
    </row>
    <row r="32">
      <c r="A32" s="34" t="str">
        <f>IFERROR(__xludf.DUMMYFUNCTION("""COMPUTED_VALUE"""),"MASKER")</f>
        <v>MASKER</v>
      </c>
      <c r="B32" s="34">
        <f>IFERROR(__xludf.DUMMYFUNCTION("""COMPUTED_VALUE"""),1.0)</f>
        <v>1</v>
      </c>
      <c r="C32" s="37">
        <f>IFERROR(__xludf.DUMMYFUNCTION("""COMPUTED_VALUE"""),46133.0)</f>
        <v>46133</v>
      </c>
      <c r="D32" s="34" t="str">
        <f>IFERROR(__xludf.DUMMYFUNCTION("""COMPUTED_VALUE"""),"BAGAS")</f>
        <v>BAGAS</v>
      </c>
    </row>
    <row r="33">
      <c r="A33" s="34" t="str">
        <f>IFERROR(__xludf.DUMMYFUNCTION("""COMPUTED_VALUE"""),"LATEX SARUNG TANGAN ")</f>
        <v>LATEX SARUNG TANGAN </v>
      </c>
      <c r="B33" s="34">
        <f>IFERROR(__xludf.DUMMYFUNCTION("""COMPUTED_VALUE"""),1.0)</f>
        <v>1</v>
      </c>
      <c r="C33" s="37">
        <f>IFERROR(__xludf.DUMMYFUNCTION("""COMPUTED_VALUE"""),46133.0)</f>
        <v>46133</v>
      </c>
      <c r="D33" s="34" t="str">
        <f>IFERROR(__xludf.DUMMYFUNCTION("""COMPUTED_VALUE"""),"BAGAS")</f>
        <v>BAGAS</v>
      </c>
    </row>
    <row r="34">
      <c r="A34" s="34" t="str">
        <f>IFERROR(__xludf.DUMMYFUNCTION("""COMPUTED_VALUE"""),"LATEX SARUNG TANGAN ")</f>
        <v>LATEX SARUNG TANGAN </v>
      </c>
      <c r="B34" s="34">
        <f>IFERROR(__xludf.DUMMYFUNCTION("""COMPUTED_VALUE"""),1.0)</f>
        <v>1</v>
      </c>
      <c r="C34" s="37">
        <f>IFERROR(__xludf.DUMMYFUNCTION("""COMPUTED_VALUE"""),46133.0)</f>
        <v>46133</v>
      </c>
      <c r="D34" s="34" t="str">
        <f>IFERROR(__xludf.DUMMYFUNCTION("""COMPUTED_VALUE"""),"IMAN")</f>
        <v>IMAN</v>
      </c>
    </row>
    <row r="35">
      <c r="A35" s="34" t="str">
        <f>IFERROR(__xludf.DUMMYFUNCTION("""COMPUTED_VALUE"""),"MASKER")</f>
        <v>MASKER</v>
      </c>
      <c r="B35" s="34">
        <f>IFERROR(__xludf.DUMMYFUNCTION("""COMPUTED_VALUE"""),1.0)</f>
        <v>1</v>
      </c>
      <c r="C35" s="37">
        <f>IFERROR(__xludf.DUMMYFUNCTION("""COMPUTED_VALUE"""),46133.0)</f>
        <v>46133</v>
      </c>
      <c r="D35" s="34" t="str">
        <f>IFERROR(__xludf.DUMMYFUNCTION("""COMPUTED_VALUE"""),"IMAN")</f>
        <v>IMAN</v>
      </c>
    </row>
    <row r="36">
      <c r="A36" s="34" t="str">
        <f>IFERROR(__xludf.DUMMYFUNCTION("""COMPUTED_VALUE"""),"KUAS ROLL BULU KECIL 4INC")</f>
        <v>KUAS ROLL BULU KECIL 4INC</v>
      </c>
      <c r="B36" s="34">
        <f>IFERROR(__xludf.DUMMYFUNCTION("""COMPUTED_VALUE"""),1.0)</f>
        <v>1</v>
      </c>
      <c r="C36" s="37">
        <f>IFERROR(__xludf.DUMMYFUNCTION("""COMPUTED_VALUE"""),46133.0)</f>
        <v>46133</v>
      </c>
      <c r="D36" s="34" t="str">
        <f>IFERROR(__xludf.DUMMYFUNCTION("""COMPUTED_VALUE"""),"ILYAS")</f>
        <v>ILYAS</v>
      </c>
    </row>
    <row r="37">
      <c r="A37" s="34" t="str">
        <f>IFERROR(__xludf.DUMMYFUNCTION("""COMPUTED_VALUE"""),"KUAS ROLL BULU BESAR 9INC")</f>
        <v>KUAS ROLL BULU BESAR 9INC</v>
      </c>
      <c r="B37" s="34">
        <f>IFERROR(__xludf.DUMMYFUNCTION("""COMPUTED_VALUE"""),1.0)</f>
        <v>1</v>
      </c>
      <c r="C37" s="37">
        <f>IFERROR(__xludf.DUMMYFUNCTION("""COMPUTED_VALUE"""),46133.0)</f>
        <v>46133</v>
      </c>
      <c r="D37" s="34" t="str">
        <f>IFERROR(__xludf.DUMMYFUNCTION("""COMPUTED_VALUE"""),"ILYAS")</f>
        <v>ILYAS</v>
      </c>
    </row>
    <row r="38">
      <c r="A38" s="34" t="str">
        <f>IFERROR(__xludf.DUMMYFUNCTION("""COMPUTED_VALUE"""),"PLASTIK SAMPAH")</f>
        <v>PLASTIK SAMPAH</v>
      </c>
      <c r="B38" s="34">
        <f>IFERROR(__xludf.DUMMYFUNCTION("""COMPUTED_VALUE"""),3.0)</f>
        <v>3</v>
      </c>
      <c r="C38" s="37">
        <f>IFERROR(__xludf.DUMMYFUNCTION("""COMPUTED_VALUE"""),46133.0)</f>
        <v>46133</v>
      </c>
      <c r="D38" s="34" t="str">
        <f>IFERROR(__xludf.DUMMYFUNCTION("""COMPUTED_VALUE"""),"FARHAN")</f>
        <v>FARHAN</v>
      </c>
    </row>
    <row r="39">
      <c r="A39" s="34" t="str">
        <f>IFERROR(__xludf.DUMMYFUNCTION("""COMPUTED_VALUE"""),"PLASTIK SAMPAH")</f>
        <v>PLASTIK SAMPAH</v>
      </c>
      <c r="B39" s="34">
        <f>IFERROR(__xludf.DUMMYFUNCTION("""COMPUTED_VALUE"""),1.0)</f>
        <v>1</v>
      </c>
      <c r="C39" s="37">
        <f>IFERROR(__xludf.DUMMYFUNCTION("""COMPUTED_VALUE"""),46133.0)</f>
        <v>46133</v>
      </c>
      <c r="D39" s="34" t="str">
        <f>IFERROR(__xludf.DUMMYFUNCTION("""COMPUTED_VALUE"""),"WAYAN")</f>
        <v>WAYAN</v>
      </c>
    </row>
    <row r="40">
      <c r="A40" s="34" t="str">
        <f>IFERROR(__xludf.DUMMYFUNCTION("""COMPUTED_VALUE"""),"LAMPU HANNOCHS 50W")</f>
        <v>LAMPU HANNOCHS 50W</v>
      </c>
      <c r="B40" s="34">
        <f>IFERROR(__xludf.DUMMYFUNCTION("""COMPUTED_VALUE"""),1.0)</f>
        <v>1</v>
      </c>
      <c r="C40" s="37">
        <f>IFERROR(__xludf.DUMMYFUNCTION("""COMPUTED_VALUE"""),46134.0)</f>
        <v>46134</v>
      </c>
      <c r="D40" s="34" t="str">
        <f>IFERROR(__xludf.DUMMYFUNCTION("""COMPUTED_VALUE"""),"MTC")</f>
        <v>MTC</v>
      </c>
    </row>
    <row r="41">
      <c r="A41" s="34" t="str">
        <f>IFERROR(__xludf.DUMMYFUNCTION("""COMPUTED_VALUE"""),"LAMPU HANNOCHS 32W")</f>
        <v>LAMPU HANNOCHS 32W</v>
      </c>
      <c r="B41" s="34">
        <f>IFERROR(__xludf.DUMMYFUNCTION("""COMPUTED_VALUE"""),1.0)</f>
        <v>1</v>
      </c>
      <c r="C41" s="37">
        <f>IFERROR(__xludf.DUMMYFUNCTION("""COMPUTED_VALUE"""),46134.0)</f>
        <v>46134</v>
      </c>
      <c r="D41" s="34" t="str">
        <f>IFERROR(__xludf.DUMMYFUNCTION("""COMPUTED_VALUE"""),"MTC")</f>
        <v>MTC</v>
      </c>
    </row>
    <row r="42">
      <c r="A42" s="34" t="str">
        <f>IFERROR(__xludf.DUMMYFUNCTION("""COMPUTED_VALUE"""),"TISSUE")</f>
        <v>TISSUE</v>
      </c>
      <c r="B42" s="34">
        <f>IFERROR(__xludf.DUMMYFUNCTION("""COMPUTED_VALUE"""),1.0)</f>
        <v>1</v>
      </c>
      <c r="C42" s="37">
        <f>IFERROR(__xludf.DUMMYFUNCTION("""COMPUTED_VALUE"""),46134.0)</f>
        <v>46134</v>
      </c>
      <c r="D42" s="34" t="str">
        <f>IFERROR(__xludf.DUMMYFUNCTION("""COMPUTED_VALUE"""),"MTC")</f>
        <v>MTC</v>
      </c>
    </row>
    <row r="43">
      <c r="A43" s="34" t="str">
        <f>IFERROR(__xludf.DUMMYFUNCTION("""COMPUTED_VALUE"""),"PLASTIK SAMPAH")</f>
        <v>PLASTIK SAMPAH</v>
      </c>
      <c r="B43" s="34">
        <f>IFERROR(__xludf.DUMMYFUNCTION("""COMPUTED_VALUE"""),1.0)</f>
        <v>1</v>
      </c>
      <c r="C43" s="37">
        <f>IFERROR(__xludf.DUMMYFUNCTION("""COMPUTED_VALUE"""),46134.0)</f>
        <v>46134</v>
      </c>
      <c r="D43" s="34" t="str">
        <f>IFERROR(__xludf.DUMMYFUNCTION("""COMPUTED_VALUE"""),"MTC")</f>
        <v>MTC</v>
      </c>
    </row>
    <row r="44">
      <c r="A44" s="34" t="str">
        <f>IFERROR(__xludf.DUMMYFUNCTION("""COMPUTED_VALUE"""),"LATEX SARUNG TANGAN ")</f>
        <v>LATEX SARUNG TANGAN </v>
      </c>
      <c r="B44" s="34">
        <f>IFERROR(__xludf.DUMMYFUNCTION("""COMPUTED_VALUE"""),1.0)</f>
        <v>1</v>
      </c>
      <c r="C44" s="37">
        <f>IFERROR(__xludf.DUMMYFUNCTION("""COMPUTED_VALUE"""),46134.0)</f>
        <v>46134</v>
      </c>
      <c r="D44" s="34" t="str">
        <f>IFERROR(__xludf.DUMMYFUNCTION("""COMPUTED_VALUE"""),"PRODUKSI")</f>
        <v>PRODUKSI</v>
      </c>
    </row>
    <row r="45">
      <c r="A45" s="34" t="str">
        <f>IFERROR(__xludf.DUMMYFUNCTION("""COMPUTED_VALUE"""),"MASKER")</f>
        <v>MASKER</v>
      </c>
      <c r="B45" s="34">
        <f>IFERROR(__xludf.DUMMYFUNCTION("""COMPUTED_VALUE"""),1.0)</f>
        <v>1</v>
      </c>
      <c r="C45" s="37">
        <f>IFERROR(__xludf.DUMMYFUNCTION("""COMPUTED_VALUE"""),46134.0)</f>
        <v>46134</v>
      </c>
      <c r="D45" s="34" t="str">
        <f>IFERROR(__xludf.DUMMYFUNCTION("""COMPUTED_VALUE"""),"PRODUKSI")</f>
        <v>PRODUKSI</v>
      </c>
    </row>
    <row r="46">
      <c r="A46" s="34" t="str">
        <f>IFERROR(__xludf.DUMMYFUNCTION("""COMPUTED_VALUE"""),"MASKER")</f>
        <v>MASKER</v>
      </c>
      <c r="B46" s="34">
        <f>IFERROR(__xludf.DUMMYFUNCTION("""COMPUTED_VALUE"""),1.0)</f>
        <v>1</v>
      </c>
      <c r="C46" s="37">
        <f>IFERROR(__xludf.DUMMYFUNCTION("""COMPUTED_VALUE"""),46134.0)</f>
        <v>46134</v>
      </c>
      <c r="D46" s="34" t="str">
        <f>IFERROR(__xludf.DUMMYFUNCTION("""COMPUTED_VALUE"""),"CALVIN")</f>
        <v>CALVIN</v>
      </c>
    </row>
    <row r="47">
      <c r="A47" s="34" t="str">
        <f>IFERROR(__xludf.DUMMYFUNCTION("""COMPUTED_VALUE"""),"MASKER")</f>
        <v>MASKER</v>
      </c>
      <c r="B47" s="34">
        <f>IFERROR(__xludf.DUMMYFUNCTION("""COMPUTED_VALUE"""),1.0)</f>
        <v>1</v>
      </c>
      <c r="C47" s="37">
        <f>IFERROR(__xludf.DUMMYFUNCTION("""COMPUTED_VALUE"""),46134.0)</f>
        <v>46134</v>
      </c>
      <c r="D47" s="34" t="str">
        <f>IFERROR(__xludf.DUMMYFUNCTION("""COMPUTED_VALUE"""),"CALVIN")</f>
        <v>CALVIN</v>
      </c>
    </row>
    <row r="48">
      <c r="A48" s="34" t="str">
        <f>IFERROR(__xludf.DUMMYFUNCTION("""COMPUTED_VALUE"""),"LATEX SARUNG TANGAN ")</f>
        <v>LATEX SARUNG TANGAN </v>
      </c>
      <c r="B48" s="34">
        <f>IFERROR(__xludf.DUMMYFUNCTION("""COMPUTED_VALUE"""),1.0)</f>
        <v>1</v>
      </c>
      <c r="C48" s="37">
        <f>IFERROR(__xludf.DUMMYFUNCTION("""COMPUTED_VALUE"""),46134.0)</f>
        <v>46134</v>
      </c>
      <c r="D48" s="34" t="str">
        <f>IFERROR(__xludf.DUMMYFUNCTION("""COMPUTED_VALUE"""),"CALVIN")</f>
        <v>CALVIN</v>
      </c>
    </row>
    <row r="49">
      <c r="A49" s="34" t="str">
        <f>IFERROR(__xludf.DUMMYFUNCTION("""COMPUTED_VALUE"""),"PULPEN HITAM")</f>
        <v>PULPEN HITAM</v>
      </c>
      <c r="B49" s="34">
        <f>IFERROR(__xludf.DUMMYFUNCTION("""COMPUTED_VALUE"""),3.0)</f>
        <v>3</v>
      </c>
      <c r="C49" s="37">
        <f>IFERROR(__xludf.DUMMYFUNCTION("""COMPUTED_VALUE"""),46134.0)</f>
        <v>46134</v>
      </c>
      <c r="D49" s="34" t="str">
        <f>IFERROR(__xludf.DUMMYFUNCTION("""COMPUTED_VALUE"""),"G1")</f>
        <v>G1</v>
      </c>
    </row>
    <row r="50">
      <c r="A50" s="34" t="str">
        <f>IFERROR(__xludf.DUMMYFUNCTION("""COMPUTED_VALUE"""),"MASKER")</f>
        <v>MASKER</v>
      </c>
      <c r="B50" s="34">
        <f>IFERROR(__xludf.DUMMYFUNCTION("""COMPUTED_VALUE"""),1.0)</f>
        <v>1</v>
      </c>
      <c r="C50" s="37">
        <f>IFERROR(__xludf.DUMMYFUNCTION("""COMPUTED_VALUE"""),46134.0)</f>
        <v>46134</v>
      </c>
      <c r="D50" s="34" t="str">
        <f>IFERROR(__xludf.DUMMYFUNCTION("""COMPUTED_VALUE"""),"PRODUKSI")</f>
        <v>PRODUKSI</v>
      </c>
    </row>
    <row r="51">
      <c r="A51" s="34" t="str">
        <f>IFERROR(__xludf.DUMMYFUNCTION("""COMPUTED_VALUE"""),"LATEX SARUNG TANGAN ")</f>
        <v>LATEX SARUNG TANGAN </v>
      </c>
      <c r="B51" s="34">
        <f>IFERROR(__xludf.DUMMYFUNCTION("""COMPUTED_VALUE"""),1.0)</f>
        <v>1</v>
      </c>
      <c r="C51" s="37">
        <f>IFERROR(__xludf.DUMMYFUNCTION("""COMPUTED_VALUE"""),46134.0)</f>
        <v>46134</v>
      </c>
      <c r="D51" s="34" t="str">
        <f>IFERROR(__xludf.DUMMYFUNCTION("""COMPUTED_VALUE"""),"PRODUKSI")</f>
        <v>PRODUKSI</v>
      </c>
    </row>
    <row r="52">
      <c r="A52" s="34" t="str">
        <f>IFERROR(__xludf.DUMMYFUNCTION("""COMPUTED_VALUE"""),"MASKER")</f>
        <v>MASKER</v>
      </c>
      <c r="B52" s="34">
        <f>IFERROR(__xludf.DUMMYFUNCTION("""COMPUTED_VALUE"""),2.0)</f>
        <v>2</v>
      </c>
      <c r="C52" s="37">
        <f>IFERROR(__xludf.DUMMYFUNCTION("""COMPUTED_VALUE"""),46134.0)</f>
        <v>46134</v>
      </c>
      <c r="D52" s="34" t="str">
        <f>IFERROR(__xludf.DUMMYFUNCTION("""COMPUTED_VALUE"""),"ILYAS")</f>
        <v>ILYAS</v>
      </c>
    </row>
    <row r="53">
      <c r="A53" s="34" t="str">
        <f>IFERROR(__xludf.DUMMYFUNCTION("""COMPUTED_VALUE"""),"MASKER")</f>
        <v>MASKER</v>
      </c>
      <c r="B53" s="34">
        <f>IFERROR(__xludf.DUMMYFUNCTION("""COMPUTED_VALUE"""),2.0)</f>
        <v>2</v>
      </c>
      <c r="C53" s="37">
        <f>IFERROR(__xludf.DUMMYFUNCTION("""COMPUTED_VALUE"""),46135.0)</f>
        <v>46135</v>
      </c>
      <c r="D53" s="34" t="str">
        <f>IFERROR(__xludf.DUMMYFUNCTION("""COMPUTED_VALUE"""),"ILYAS")</f>
        <v>ILYAS</v>
      </c>
    </row>
    <row r="54">
      <c r="A54" s="34" t="str">
        <f>IFERROR(__xludf.DUMMYFUNCTION("""COMPUTED_VALUE"""),"MASKER")</f>
        <v>MASKER</v>
      </c>
      <c r="B54" s="34">
        <f>IFERROR(__xludf.DUMMYFUNCTION("""COMPUTED_VALUE"""),2.0)</f>
        <v>2</v>
      </c>
      <c r="C54" s="37">
        <f>IFERROR(__xludf.DUMMYFUNCTION("""COMPUTED_VALUE"""),46135.0)</f>
        <v>46135</v>
      </c>
      <c r="D54" s="34" t="str">
        <f>IFERROR(__xludf.DUMMYFUNCTION("""COMPUTED_VALUE"""),"CATRIDGE")</f>
        <v>CATRIDGE</v>
      </c>
    </row>
    <row r="55">
      <c r="A55" s="34" t="str">
        <f>IFERROR(__xludf.DUMMYFUNCTION("""COMPUTED_VALUE"""),"LATEX SARUNG TANGAN ")</f>
        <v>LATEX SARUNG TANGAN </v>
      </c>
      <c r="B55" s="34">
        <f>IFERROR(__xludf.DUMMYFUNCTION("""COMPUTED_VALUE"""),2.0)</f>
        <v>2</v>
      </c>
      <c r="C55" s="37">
        <f>IFERROR(__xludf.DUMMYFUNCTION("""COMPUTED_VALUE"""),46135.0)</f>
        <v>46135</v>
      </c>
      <c r="D55" s="34" t="str">
        <f>IFERROR(__xludf.DUMMYFUNCTION("""COMPUTED_VALUE"""),"CATRIDGE")</f>
        <v>CATRIDGE</v>
      </c>
    </row>
    <row r="56">
      <c r="A56" s="34" t="str">
        <f>IFERROR(__xludf.DUMMYFUNCTION("""COMPUTED_VALUE"""),"BAYGON")</f>
        <v>BAYGON</v>
      </c>
      <c r="B56" s="34">
        <f>IFERROR(__xludf.DUMMYFUNCTION("""COMPUTED_VALUE"""),1.0)</f>
        <v>1</v>
      </c>
      <c r="C56" s="37">
        <f>IFERROR(__xludf.DUMMYFUNCTION("""COMPUTED_VALUE"""),46135.0)</f>
        <v>46135</v>
      </c>
      <c r="D56" s="34" t="str">
        <f>IFERROR(__xludf.DUMMYFUNCTION("""COMPUTED_VALUE"""),"GA HERIYANTO")</f>
        <v>GA HERIYANTO</v>
      </c>
    </row>
    <row r="57">
      <c r="A57" s="34" t="str">
        <f>IFERROR(__xludf.DUMMYFUNCTION("""COMPUTED_VALUE"""),"SUSU ")</f>
        <v>SUSU </v>
      </c>
      <c r="B57" s="34">
        <f>IFERROR(__xludf.DUMMYFUNCTION("""COMPUTED_VALUE"""),96.0)</f>
        <v>96</v>
      </c>
      <c r="C57" s="37">
        <f>IFERROR(__xludf.DUMMYFUNCTION("""COMPUTED_VALUE"""),46135.0)</f>
        <v>46135</v>
      </c>
      <c r="D57" s="34" t="str">
        <f>IFERROR(__xludf.DUMMYFUNCTION("""COMPUTED_VALUE""")," PANTRY SIFT1")</f>
        <v> PANTRY SIFT1</v>
      </c>
    </row>
    <row r="58">
      <c r="A58" s="34" t="str">
        <f>IFERROR(__xludf.DUMMYFUNCTION("""COMPUTED_VALUE"""),"SUSU ")</f>
        <v>SUSU </v>
      </c>
      <c r="B58" s="34">
        <f>IFERROR(__xludf.DUMMYFUNCTION("""COMPUTED_VALUE"""),96.0)</f>
        <v>96</v>
      </c>
      <c r="C58" s="37">
        <f>IFERROR(__xludf.DUMMYFUNCTION("""COMPUTED_VALUE"""),46135.0)</f>
        <v>46135</v>
      </c>
      <c r="D58" s="34" t="str">
        <f>IFERROR(__xludf.DUMMYFUNCTION("""COMPUTED_VALUE"""),"PANTRY SIFT2")</f>
        <v>PANTRY SIFT2</v>
      </c>
    </row>
    <row r="59">
      <c r="A59" s="34" t="str">
        <f>IFERROR(__xludf.DUMMYFUNCTION("""COMPUTED_VALUE"""),"AIR MINERAL")</f>
        <v>AIR MINERAL</v>
      </c>
      <c r="B59" s="34">
        <f>IFERROR(__xludf.DUMMYFUNCTION("""COMPUTED_VALUE"""),24.0)</f>
        <v>24</v>
      </c>
      <c r="C59" s="37">
        <f>IFERROR(__xludf.DUMMYFUNCTION("""COMPUTED_VALUE"""),46135.0)</f>
        <v>46135</v>
      </c>
      <c r="D59" s="34" t="str">
        <f>IFERROR(__xludf.DUMMYFUNCTION("""COMPUTED_VALUE"""),"PANTRY")</f>
        <v>PANTRY</v>
      </c>
    </row>
    <row r="60">
      <c r="A60" s="34" t="str">
        <f>IFERROR(__xludf.DUMMYFUNCTION("""COMPUTED_VALUE"""),"MASKER")</f>
        <v>MASKER</v>
      </c>
      <c r="B60" s="34">
        <f>IFERROR(__xludf.DUMMYFUNCTION("""COMPUTED_VALUE"""),2.0)</f>
        <v>2</v>
      </c>
      <c r="C60" s="37">
        <f>IFERROR(__xludf.DUMMYFUNCTION("""COMPUTED_VALUE"""),46136.0)</f>
        <v>46136</v>
      </c>
      <c r="D60" s="34" t="str">
        <f>IFERROR(__xludf.DUMMYFUNCTION("""COMPUTED_VALUE"""),"CALVIN")</f>
        <v>CALVIN</v>
      </c>
    </row>
    <row r="61">
      <c r="A61" s="34" t="str">
        <f>IFERROR(__xludf.DUMMYFUNCTION("""COMPUTED_VALUE"""),"MASKER")</f>
        <v>MASKER</v>
      </c>
      <c r="B61" s="34">
        <f>IFERROR(__xludf.DUMMYFUNCTION("""COMPUTED_VALUE"""),2.0)</f>
        <v>2</v>
      </c>
      <c r="C61" s="37">
        <f>IFERROR(__xludf.DUMMYFUNCTION("""COMPUTED_VALUE"""),46136.0)</f>
        <v>46136</v>
      </c>
      <c r="D61" s="34" t="str">
        <f>IFERROR(__xludf.DUMMYFUNCTION("""COMPUTED_VALUE"""),"ILYAS")</f>
        <v>ILYAS</v>
      </c>
    </row>
    <row r="62">
      <c r="A62" s="34" t="str">
        <f>IFERROR(__xludf.DUMMYFUNCTION("""COMPUTED_VALUE"""),"TISSUE")</f>
        <v>TISSUE</v>
      </c>
      <c r="B62" s="34">
        <f>IFERROR(__xludf.DUMMYFUNCTION("""COMPUTED_VALUE"""),1.0)</f>
        <v>1</v>
      </c>
      <c r="C62" s="37">
        <f>IFERROR(__xludf.DUMMYFUNCTION("""COMPUTED_VALUE"""),46136.0)</f>
        <v>46136</v>
      </c>
      <c r="D62" s="34" t="str">
        <f>IFERROR(__xludf.DUMMYFUNCTION("""COMPUTED_VALUE"""),"ILYAS")</f>
        <v>ILYAS</v>
      </c>
    </row>
    <row r="63">
      <c r="A63" s="34" t="str">
        <f>IFERROR(__xludf.DUMMYFUNCTION("""COMPUTED_VALUE"""),"AIR MINERAL")</f>
        <v>AIR MINERAL</v>
      </c>
      <c r="B63" s="34">
        <f>IFERROR(__xludf.DUMMYFUNCTION("""COMPUTED_VALUE"""),24.0)</f>
        <v>24</v>
      </c>
      <c r="C63" s="37">
        <f>IFERROR(__xludf.DUMMYFUNCTION("""COMPUTED_VALUE"""),46136.0)</f>
        <v>46136</v>
      </c>
      <c r="D63" s="34" t="str">
        <f>IFERROR(__xludf.DUMMYFUNCTION("""COMPUTED_VALUE"""),"PANTRY")</f>
        <v>PANTRY</v>
      </c>
    </row>
    <row r="64">
      <c r="A64" s="34" t="str">
        <f>IFERROR(__xludf.DUMMYFUNCTION("""COMPUTED_VALUE"""),"TISSUE")</f>
        <v>TISSUE</v>
      </c>
      <c r="B64" s="34">
        <f>IFERROR(__xludf.DUMMYFUNCTION("""COMPUTED_VALUE"""),1.0)</f>
        <v>1</v>
      </c>
      <c r="C64" s="37">
        <f>IFERROR(__xludf.DUMMYFUNCTION("""COMPUTED_VALUE"""),46137.0)</f>
        <v>46137</v>
      </c>
      <c r="D64" s="34" t="str">
        <f>IFERROR(__xludf.DUMMYFUNCTION("""COMPUTED_VALUE"""),"PANTRY")</f>
        <v>PANTRY</v>
      </c>
    </row>
    <row r="65">
      <c r="A65" s="34" t="str">
        <f>IFERROR(__xludf.DUMMYFUNCTION("""COMPUTED_VALUE"""),"SUSU ")</f>
        <v>SUSU </v>
      </c>
      <c r="B65" s="34">
        <f>IFERROR(__xludf.DUMMYFUNCTION("""COMPUTED_VALUE"""),24.0)</f>
        <v>24</v>
      </c>
      <c r="C65" s="37">
        <f>IFERROR(__xludf.DUMMYFUNCTION("""COMPUTED_VALUE"""),46137.0)</f>
        <v>46137</v>
      </c>
      <c r="D65" s="34" t="str">
        <f>IFERROR(__xludf.DUMMYFUNCTION("""COMPUTED_VALUE"""),"PANTRY")</f>
        <v>PANTRY</v>
      </c>
    </row>
    <row r="66">
      <c r="A66" s="34" t="str">
        <f>IFERROR(__xludf.DUMMYFUNCTION("""COMPUTED_VALUE"""),"SABUN CUCI PIRING ")</f>
        <v>SABUN CUCI PIRING </v>
      </c>
      <c r="B66" s="34">
        <f>IFERROR(__xludf.DUMMYFUNCTION("""COMPUTED_VALUE"""),1.0)</f>
        <v>1</v>
      </c>
      <c r="C66" s="37">
        <f>IFERROR(__xludf.DUMMYFUNCTION("""COMPUTED_VALUE"""),46137.0)</f>
        <v>46137</v>
      </c>
      <c r="D66" s="34" t="str">
        <f>IFERROR(__xludf.DUMMYFUNCTION("""COMPUTED_VALUE"""),"PANTRY")</f>
        <v>PANTRY</v>
      </c>
    </row>
    <row r="67">
      <c r="A67" s="34" t="str">
        <f>IFERROR(__xludf.DUMMYFUNCTION("""COMPUTED_VALUE"""),"MASKER")</f>
        <v>MASKER</v>
      </c>
      <c r="B67" s="34">
        <f>IFERROR(__xludf.DUMMYFUNCTION("""COMPUTED_VALUE"""),1.0)</f>
        <v>1</v>
      </c>
      <c r="C67" s="37">
        <f>IFERROR(__xludf.DUMMYFUNCTION("""COMPUTED_VALUE"""),46137.0)</f>
        <v>46137</v>
      </c>
      <c r="D67" s="34" t="str">
        <f>IFERROR(__xludf.DUMMYFUNCTION("""COMPUTED_VALUE"""),"ILYAS")</f>
        <v>ILYAS</v>
      </c>
    </row>
    <row r="68">
      <c r="A68" s="34" t="str">
        <f>IFERROR(__xludf.DUMMYFUNCTION("""COMPUTED_VALUE"""),"LATEX SARUNG TANGAN ")</f>
        <v>LATEX SARUNG TANGAN </v>
      </c>
      <c r="B68" s="34">
        <f>IFERROR(__xludf.DUMMYFUNCTION("""COMPUTED_VALUE"""),1.0)</f>
        <v>1</v>
      </c>
      <c r="C68" s="37">
        <f>IFERROR(__xludf.DUMMYFUNCTION("""COMPUTED_VALUE"""),46137.0)</f>
        <v>46137</v>
      </c>
      <c r="D68" s="34" t="str">
        <f>IFERROR(__xludf.DUMMYFUNCTION("""COMPUTED_VALUE"""),"ILYAS")</f>
        <v>ILYAS</v>
      </c>
    </row>
    <row r="69">
      <c r="A69" s="34" t="str">
        <f>IFERROR(__xludf.DUMMYFUNCTION("""COMPUTED_VALUE"""),"LATEX SARUNG TANGAN ")</f>
        <v>LATEX SARUNG TANGAN </v>
      </c>
      <c r="B69" s="34">
        <f>IFERROR(__xludf.DUMMYFUNCTION("""COMPUTED_VALUE"""),1.0)</f>
        <v>1</v>
      </c>
      <c r="C69" s="37">
        <f>IFERROR(__xludf.DUMMYFUNCTION("""COMPUTED_VALUE"""),46137.0)</f>
        <v>46137</v>
      </c>
      <c r="D69" s="34" t="str">
        <f>IFERROR(__xludf.DUMMYFUNCTION("""COMPUTED_VALUE"""),"AINI")</f>
        <v>AINI</v>
      </c>
    </row>
    <row r="70">
      <c r="A70" s="34" t="str">
        <f>IFERROR(__xludf.DUMMYFUNCTION("""COMPUTED_VALUE"""),"MASKER")</f>
        <v>MASKER</v>
      </c>
      <c r="B70" s="34">
        <f>IFERROR(__xludf.DUMMYFUNCTION("""COMPUTED_VALUE"""),1.0)</f>
        <v>1</v>
      </c>
      <c r="C70" s="37">
        <f>IFERROR(__xludf.DUMMYFUNCTION("""COMPUTED_VALUE"""),46137.0)</f>
        <v>46137</v>
      </c>
      <c r="D70" s="34" t="str">
        <f>IFERROR(__xludf.DUMMYFUNCTION("""COMPUTED_VALUE"""),"AINI")</f>
        <v>AINI</v>
      </c>
    </row>
    <row r="71">
      <c r="A71" s="34" t="str">
        <f>IFERROR(__xludf.DUMMYFUNCTION("""COMPUTED_VALUE"""),"MASKER")</f>
        <v>MASKER</v>
      </c>
      <c r="B71" s="34">
        <f>IFERROR(__xludf.DUMMYFUNCTION("""COMPUTED_VALUE"""),1.0)</f>
        <v>1</v>
      </c>
      <c r="C71" s="37">
        <f>IFERROR(__xludf.DUMMYFUNCTION("""COMPUTED_VALUE"""),46137.0)</f>
        <v>46137</v>
      </c>
      <c r="D71" s="34" t="str">
        <f>IFERROR(__xludf.DUMMYFUNCTION("""COMPUTED_VALUE"""),"AINI")</f>
        <v>AINI</v>
      </c>
    </row>
    <row r="72">
      <c r="A72" s="34" t="str">
        <f>IFERROR(__xludf.DUMMYFUNCTION("""COMPUTED_VALUE"""),"TISSUE")</f>
        <v>TISSUE</v>
      </c>
      <c r="B72" s="34">
        <f>IFERROR(__xludf.DUMMYFUNCTION("""COMPUTED_VALUE"""),1.0)</f>
        <v>1</v>
      </c>
      <c r="C72" s="37">
        <f>IFERROR(__xludf.DUMMYFUNCTION("""COMPUTED_VALUE"""),46137.0)</f>
        <v>46137</v>
      </c>
      <c r="D72" s="34" t="str">
        <f>IFERROR(__xludf.DUMMYFUNCTION("""COMPUTED_VALUE"""),"AINI")</f>
        <v>AINI</v>
      </c>
    </row>
    <row r="73">
      <c r="A73" s="34" t="str">
        <f>IFERROR(__xludf.DUMMYFUNCTION("""COMPUTED_VALUE"""),"LATEX SARUNG TANGAN ")</f>
        <v>LATEX SARUNG TANGAN </v>
      </c>
      <c r="B73" s="34">
        <f>IFERROR(__xludf.DUMMYFUNCTION("""COMPUTED_VALUE"""),1.0)</f>
        <v>1</v>
      </c>
      <c r="C73" s="37">
        <f>IFERROR(__xludf.DUMMYFUNCTION("""COMPUTED_VALUE"""),46137.0)</f>
        <v>46137</v>
      </c>
      <c r="D73" s="34" t="str">
        <f>IFERROR(__xludf.DUMMYFUNCTION("""COMPUTED_VALUE"""),"AINI")</f>
        <v>AINI</v>
      </c>
    </row>
    <row r="74">
      <c r="A74" s="34" t="str">
        <f>IFERROR(__xludf.DUMMYFUNCTION("""COMPUTED_VALUE"""),"LATEX SARUNG TANGAN ")</f>
        <v>LATEX SARUNG TANGAN </v>
      </c>
      <c r="B74" s="34">
        <f>IFERROR(__xludf.DUMMYFUNCTION("""COMPUTED_VALUE"""),1.0)</f>
        <v>1</v>
      </c>
      <c r="C74" s="37">
        <f>IFERROR(__xludf.DUMMYFUNCTION("""COMPUTED_VALUE"""),46137.0)</f>
        <v>46137</v>
      </c>
      <c r="D74" s="34" t="str">
        <f>IFERROR(__xludf.DUMMYFUNCTION("""COMPUTED_VALUE"""),"BAGAS")</f>
        <v>BAGAS</v>
      </c>
    </row>
    <row r="75">
      <c r="A75" s="34" t="str">
        <f>IFERROR(__xludf.DUMMYFUNCTION("""COMPUTED_VALUE"""),"TISSUE")</f>
        <v>TISSUE</v>
      </c>
      <c r="B75" s="34">
        <f>IFERROR(__xludf.DUMMYFUNCTION("""COMPUTED_VALUE"""),1.0)</f>
        <v>1</v>
      </c>
      <c r="C75" s="37">
        <f>IFERROR(__xludf.DUMMYFUNCTION("""COMPUTED_VALUE"""),46137.0)</f>
        <v>46137</v>
      </c>
      <c r="D75" s="34" t="str">
        <f>IFERROR(__xludf.DUMMYFUNCTION("""COMPUTED_VALUE"""),"BAGAS")</f>
        <v>BAGAS</v>
      </c>
    </row>
    <row r="76">
      <c r="A76" s="34" t="str">
        <f>IFERROR(__xludf.DUMMYFUNCTION("""COMPUTED_VALUE"""),"PLASTIK SAMPAH")</f>
        <v>PLASTIK SAMPAH</v>
      </c>
      <c r="B76" s="34">
        <f>IFERROR(__xludf.DUMMYFUNCTION("""COMPUTED_VALUE"""),1.0)</f>
        <v>1</v>
      </c>
      <c r="C76" s="37">
        <f>IFERROR(__xludf.DUMMYFUNCTION("""COMPUTED_VALUE"""),46137.0)</f>
        <v>46137</v>
      </c>
      <c r="D76" s="34" t="str">
        <f>IFERROR(__xludf.DUMMYFUNCTION("""COMPUTED_VALUE"""),"GA HERIYANTO")</f>
        <v>GA HERIYANTO</v>
      </c>
    </row>
    <row r="77">
      <c r="A77" s="34" t="str">
        <f>IFERROR(__xludf.DUMMYFUNCTION("""COMPUTED_VALUE"""),"SPIDOL HITAM")</f>
        <v>SPIDOL HITAM</v>
      </c>
      <c r="B77" s="34">
        <f>IFERROR(__xludf.DUMMYFUNCTION("""COMPUTED_VALUE"""),2.0)</f>
        <v>2</v>
      </c>
      <c r="C77" s="37">
        <f>IFERROR(__xludf.DUMMYFUNCTION("""COMPUTED_VALUE"""),46137.0)</f>
        <v>46137</v>
      </c>
      <c r="D77" s="34" t="str">
        <f>IFERROR(__xludf.DUMMYFUNCTION("""COMPUTED_VALUE"""),"LOGISTIK GUNTUR")</f>
        <v>LOGISTIK GUNTUR</v>
      </c>
    </row>
    <row r="78">
      <c r="A78" s="34" t="str">
        <f>IFERROR(__xludf.DUMMYFUNCTION("""COMPUTED_VALUE"""),"PULPEN HITAM")</f>
        <v>PULPEN HITAM</v>
      </c>
      <c r="B78" s="34">
        <f>IFERROR(__xludf.DUMMYFUNCTION("""COMPUTED_VALUE"""),12.0)</f>
        <v>12</v>
      </c>
      <c r="C78" s="37">
        <f>IFERROR(__xludf.DUMMYFUNCTION("""COMPUTED_VALUE"""),46137.0)</f>
        <v>46137</v>
      </c>
      <c r="D78" s="34" t="str">
        <f>IFERROR(__xludf.DUMMYFUNCTION("""COMPUTED_VALUE"""),"LOGISTIK GUNTUR")</f>
        <v>LOGISTIK GUNTUR</v>
      </c>
    </row>
    <row r="79">
      <c r="A79" s="34" t="str">
        <f>IFERROR(__xludf.DUMMYFUNCTION("""COMPUTED_VALUE"""),"MASKER")</f>
        <v>MASKER</v>
      </c>
      <c r="B79" s="34">
        <f>IFERROR(__xludf.DUMMYFUNCTION("""COMPUTED_VALUE"""),1.0)</f>
        <v>1</v>
      </c>
      <c r="C79" s="37">
        <f>IFERROR(__xludf.DUMMYFUNCTION("""COMPUTED_VALUE"""),46137.0)</f>
        <v>46137</v>
      </c>
      <c r="D79" s="34" t="str">
        <f>IFERROR(__xludf.DUMMYFUNCTION("""COMPUTED_VALUE"""),"ANISA")</f>
        <v>ANISA</v>
      </c>
    </row>
    <row r="80">
      <c r="A80" s="34" t="str">
        <f>IFERROR(__xludf.DUMMYFUNCTION("""COMPUTED_VALUE"""),"HANDSPLAST WARNA WARNI")</f>
        <v>HANDSPLAST WARNA WARNI</v>
      </c>
      <c r="B80" s="34">
        <f>IFERROR(__xludf.DUMMYFUNCTION("""COMPUTED_VALUE"""),1.0)</f>
        <v>1</v>
      </c>
      <c r="C80" s="37">
        <f>IFERROR(__xludf.DUMMYFUNCTION("""COMPUTED_VALUE"""),46137.0)</f>
        <v>46137</v>
      </c>
      <c r="D80" s="34" t="str">
        <f>IFERROR(__xludf.DUMMYFUNCTION("""COMPUTED_VALUE"""),"ANISA")</f>
        <v>ANISA</v>
      </c>
    </row>
    <row r="81">
      <c r="A81" s="34" t="str">
        <f>IFERROR(__xludf.DUMMYFUNCTION("""COMPUTED_VALUE"""),"TISSUE")</f>
        <v>TISSUE</v>
      </c>
      <c r="B81" s="34">
        <f>IFERROR(__xludf.DUMMYFUNCTION("""COMPUTED_VALUE"""),1.0)</f>
        <v>1</v>
      </c>
      <c r="C81" s="37">
        <f>IFERROR(__xludf.DUMMYFUNCTION("""COMPUTED_VALUE"""),46137.0)</f>
        <v>46137</v>
      </c>
      <c r="D81" s="34" t="str">
        <f>IFERROR(__xludf.DUMMYFUNCTION("""COMPUTED_VALUE"""),"ANISA")</f>
        <v>ANISA</v>
      </c>
    </row>
    <row r="82">
      <c r="A82" s="34" t="str">
        <f>IFERROR(__xludf.DUMMYFUNCTION("""COMPUTED_VALUE"""),"TISSUE")</f>
        <v>TISSUE</v>
      </c>
      <c r="B82" s="34">
        <f>IFERROR(__xludf.DUMMYFUNCTION("""COMPUTED_VALUE"""),1.0)</f>
        <v>1</v>
      </c>
      <c r="C82" s="37">
        <f>IFERROR(__xludf.DUMMYFUNCTION("""COMPUTED_VALUE"""),46137.0)</f>
        <v>46137</v>
      </c>
      <c r="D82" s="34" t="str">
        <f>IFERROR(__xludf.DUMMYFUNCTION("""COMPUTED_VALUE"""),"DANI")</f>
        <v>DANI</v>
      </c>
    </row>
    <row r="83">
      <c r="A83" s="34" t="str">
        <f>IFERROR(__xludf.DUMMYFUNCTION("""COMPUTED_VALUE"""),"MASKER")</f>
        <v>MASKER</v>
      </c>
      <c r="B83" s="34">
        <f>IFERROR(__xludf.DUMMYFUNCTION("""COMPUTED_VALUE"""),1.0)</f>
        <v>1</v>
      </c>
      <c r="C83" s="37">
        <f>IFERROR(__xludf.DUMMYFUNCTION("""COMPUTED_VALUE"""),46137.0)</f>
        <v>46137</v>
      </c>
      <c r="D83" s="34" t="str">
        <f>IFERROR(__xludf.DUMMYFUNCTION("""COMPUTED_VALUE"""),"ANISA")</f>
        <v>ANISA</v>
      </c>
    </row>
    <row r="84">
      <c r="A84" s="34" t="str">
        <f>IFERROR(__xludf.DUMMYFUNCTION("""COMPUTED_VALUE"""),"SEMPROTAN AIR")</f>
        <v>SEMPROTAN AIR</v>
      </c>
      <c r="B84" s="34">
        <f>IFERROR(__xludf.DUMMYFUNCTION("""COMPUTED_VALUE"""),1.0)</f>
        <v>1</v>
      </c>
      <c r="C84" s="37">
        <f>IFERROR(__xludf.DUMMYFUNCTION("""COMPUTED_VALUE"""),46137.0)</f>
        <v>46137</v>
      </c>
      <c r="D84" s="34" t="str">
        <f>IFERROR(__xludf.DUMMYFUNCTION("""COMPUTED_VALUE"""),"FAREL")</f>
        <v>FAREL</v>
      </c>
    </row>
    <row r="85">
      <c r="A85" s="34" t="str">
        <f>IFERROR(__xludf.DUMMYFUNCTION("""COMPUTED_VALUE"""),"KERTAS HVS A4")</f>
        <v>KERTAS HVS A4</v>
      </c>
      <c r="B85" s="34">
        <f>IFERROR(__xludf.DUMMYFUNCTION("""COMPUTED_VALUE"""),1.0)</f>
        <v>1</v>
      </c>
      <c r="C85" s="37">
        <f>IFERROR(__xludf.DUMMYFUNCTION("""COMPUTED_VALUE"""),46137.0)</f>
        <v>46137</v>
      </c>
      <c r="D85" s="34" t="str">
        <f>IFERROR(__xludf.DUMMYFUNCTION("""COMPUTED_VALUE"""),"SADAH")</f>
        <v>SADAH</v>
      </c>
    </row>
    <row r="86">
      <c r="A86" s="34" t="str">
        <f>IFERROR(__xludf.DUMMYFUNCTION("""COMPUTED_VALUE"""),"BATU BATERAI A3")</f>
        <v>BATU BATERAI A3</v>
      </c>
      <c r="B86" s="34">
        <f>IFERROR(__xludf.DUMMYFUNCTION("""COMPUTED_VALUE"""),17.0)</f>
        <v>17</v>
      </c>
      <c r="C86" s="37">
        <f>IFERROR(__xludf.DUMMYFUNCTION("""COMPUTED_VALUE"""),46137.0)</f>
        <v>46137</v>
      </c>
      <c r="D86" s="34" t="str">
        <f>IFERROR(__xludf.DUMMYFUNCTION("""COMPUTED_VALUE"""),"SADAH")</f>
        <v>SADAH</v>
      </c>
    </row>
    <row r="87">
      <c r="A87" s="34" t="str">
        <f>IFERROR(__xludf.DUMMYFUNCTION("""COMPUTED_VALUE"""),"TINTA PRINTER L3201 KUNING")</f>
        <v>TINTA PRINTER L3201 KUNING</v>
      </c>
      <c r="B87" s="34">
        <f>IFERROR(__xludf.DUMMYFUNCTION("""COMPUTED_VALUE"""),1.0)</f>
        <v>1</v>
      </c>
      <c r="C87" s="37">
        <f>IFERROR(__xludf.DUMMYFUNCTION("""COMPUTED_VALUE"""),46137.0)</f>
        <v>46137</v>
      </c>
      <c r="D87" s="34" t="str">
        <f>IFERROR(__xludf.DUMMYFUNCTION("""COMPUTED_VALUE"""),"SADAH")</f>
        <v>SADAH</v>
      </c>
    </row>
    <row r="88">
      <c r="A88" s="34" t="str">
        <f>IFERROR(__xludf.DUMMYFUNCTION("""COMPUTED_VALUE"""),"TINTA PRINTER L3201 HITAM")</f>
        <v>TINTA PRINTER L3201 HITAM</v>
      </c>
      <c r="B88" s="34">
        <f>IFERROR(__xludf.DUMMYFUNCTION("""COMPUTED_VALUE"""),1.0)</f>
        <v>1</v>
      </c>
      <c r="C88" s="37">
        <f>IFERROR(__xludf.DUMMYFUNCTION("""COMPUTED_VALUE"""),46137.0)</f>
        <v>46137</v>
      </c>
      <c r="D88" s="34" t="str">
        <f>IFERROR(__xludf.DUMMYFUNCTION("""COMPUTED_VALUE"""),"SADAH")</f>
        <v>SADAH</v>
      </c>
    </row>
    <row r="89">
      <c r="A89" s="34" t="str">
        <f>IFERROR(__xludf.DUMMYFUNCTION("""COMPUTED_VALUE"""),"TINTA PRINTER L3201 BIRU")</f>
        <v>TINTA PRINTER L3201 BIRU</v>
      </c>
      <c r="B89" s="34">
        <f>IFERROR(__xludf.DUMMYFUNCTION("""COMPUTED_VALUE"""),1.0)</f>
        <v>1</v>
      </c>
      <c r="C89" s="37">
        <f>IFERROR(__xludf.DUMMYFUNCTION("""COMPUTED_VALUE"""),46137.0)</f>
        <v>46137</v>
      </c>
      <c r="D89" s="34" t="str">
        <f>IFERROR(__xludf.DUMMYFUNCTION("""COMPUTED_VALUE"""),"SADAH")</f>
        <v>SADAH</v>
      </c>
    </row>
    <row r="90">
      <c r="A90" s="34" t="str">
        <f>IFERROR(__xludf.DUMMYFUNCTION("""COMPUTED_VALUE"""),"TINTA LX-310")</f>
        <v>TINTA LX-310</v>
      </c>
      <c r="B90" s="34">
        <f>IFERROR(__xludf.DUMMYFUNCTION("""COMPUTED_VALUE"""),1.0)</f>
        <v>1</v>
      </c>
      <c r="C90" s="37">
        <f>IFERROR(__xludf.DUMMYFUNCTION("""COMPUTED_VALUE"""),46137.0)</f>
        <v>46137</v>
      </c>
      <c r="D90" s="34" t="str">
        <f>IFERROR(__xludf.DUMMYFUNCTION("""COMPUTED_VALUE"""),"SADAH")</f>
        <v>SADAH</v>
      </c>
    </row>
    <row r="91">
      <c r="A91" s="34" t="str">
        <f>IFERROR(__xludf.DUMMYFUNCTION("""COMPUTED_VALUE"""),"TINTA PRINTER L3201 PINK")</f>
        <v>TINTA PRINTER L3201 PINK</v>
      </c>
      <c r="B91" s="34">
        <f>IFERROR(__xludf.DUMMYFUNCTION("""COMPUTED_VALUE"""),1.0)</f>
        <v>1</v>
      </c>
      <c r="C91" s="37">
        <f>IFERROR(__xludf.DUMMYFUNCTION("""COMPUTED_VALUE"""),46137.0)</f>
        <v>46137</v>
      </c>
      <c r="D91" s="34" t="str">
        <f>IFERROR(__xludf.DUMMYFUNCTION("""COMPUTED_VALUE"""),"SADAH")</f>
        <v>SADAH</v>
      </c>
    </row>
    <row r="92">
      <c r="A92" s="34" t="str">
        <f>IFERROR(__xludf.DUMMYFUNCTION("""COMPUTED_VALUE"""),"TISSUE")</f>
        <v>TISSUE</v>
      </c>
      <c r="B92" s="34">
        <f>IFERROR(__xludf.DUMMYFUNCTION("""COMPUTED_VALUE"""),1.0)</f>
        <v>1</v>
      </c>
      <c r="C92" s="37">
        <f>IFERROR(__xludf.DUMMYFUNCTION("""COMPUTED_VALUE"""),46137.0)</f>
        <v>46137</v>
      </c>
      <c r="D92" s="34" t="str">
        <f>IFERROR(__xludf.DUMMYFUNCTION("""COMPUTED_VALUE"""),"SADAH")</f>
        <v>SADAH</v>
      </c>
    </row>
    <row r="93">
      <c r="A93" s="34" t="str">
        <f>IFERROR(__xludf.DUMMYFUNCTION("""COMPUTED_VALUE"""),"BUKU TULIS")</f>
        <v>BUKU TULIS</v>
      </c>
      <c r="B93" s="34">
        <f>IFERROR(__xludf.DUMMYFUNCTION("""COMPUTED_VALUE"""),1.0)</f>
        <v>1</v>
      </c>
      <c r="C93" s="37">
        <f>IFERROR(__xludf.DUMMYFUNCTION("""COMPUTED_VALUE"""),46137.0)</f>
        <v>46137</v>
      </c>
      <c r="D93" s="34" t="str">
        <f>IFERROR(__xludf.DUMMYFUNCTION("""COMPUTED_VALUE"""),"SADAH")</f>
        <v>SADAH</v>
      </c>
    </row>
    <row r="94">
      <c r="A94" s="34" t="str">
        <f>IFERROR(__xludf.DUMMYFUNCTION("""COMPUTED_VALUE"""),"TISSUE")</f>
        <v>TISSUE</v>
      </c>
      <c r="B94" s="34">
        <f>IFERROR(__xludf.DUMMYFUNCTION("""COMPUTED_VALUE"""),2.0)</f>
        <v>2</v>
      </c>
      <c r="C94" s="37">
        <f>IFERROR(__xludf.DUMMYFUNCTION("""COMPUTED_VALUE"""),46137.0)</f>
        <v>46137</v>
      </c>
      <c r="D94" s="34" t="str">
        <f>IFERROR(__xludf.DUMMYFUNCTION("""COMPUTED_VALUE"""),"RIANTI")</f>
        <v>RIANTI</v>
      </c>
    </row>
    <row r="95">
      <c r="A95" s="34" t="str">
        <f>IFERROR(__xludf.DUMMYFUNCTION("""COMPUTED_VALUE"""),"MASKER")</f>
        <v>MASKER</v>
      </c>
      <c r="B95" s="34">
        <f>IFERROR(__xludf.DUMMYFUNCTION("""COMPUTED_VALUE"""),1.0)</f>
        <v>1</v>
      </c>
      <c r="C95" s="37">
        <f>IFERROR(__xludf.DUMMYFUNCTION("""COMPUTED_VALUE"""),46137.0)</f>
        <v>46137</v>
      </c>
      <c r="D95" s="34" t="str">
        <f>IFERROR(__xludf.DUMMYFUNCTION("""COMPUTED_VALUE"""),"DANI")</f>
        <v>DANI</v>
      </c>
    </row>
    <row r="96">
      <c r="A96" s="34" t="str">
        <f>IFERROR(__xludf.DUMMYFUNCTION("""COMPUTED_VALUE"""),"MASKER")</f>
        <v>MASKER</v>
      </c>
      <c r="B96" s="34">
        <f>IFERROR(__xludf.DUMMYFUNCTION("""COMPUTED_VALUE"""),1.0)</f>
        <v>1</v>
      </c>
      <c r="C96" s="37">
        <f>IFERROR(__xludf.DUMMYFUNCTION("""COMPUTED_VALUE"""),46137.0)</f>
        <v>46137</v>
      </c>
      <c r="D96" s="34" t="str">
        <f>IFERROR(__xludf.DUMMYFUNCTION("""COMPUTED_VALUE"""),"DANI")</f>
        <v>DANI</v>
      </c>
    </row>
    <row r="97">
      <c r="A97" s="34" t="str">
        <f>IFERROR(__xludf.DUMMYFUNCTION("""COMPUTED_VALUE"""),"LATEX SARUNG TANGAN ")</f>
        <v>LATEX SARUNG TANGAN </v>
      </c>
      <c r="B97" s="34">
        <f>IFERROR(__xludf.DUMMYFUNCTION("""COMPUTED_VALUE"""),1.0)</f>
        <v>1</v>
      </c>
      <c r="C97" s="37">
        <f>IFERROR(__xludf.DUMMYFUNCTION("""COMPUTED_VALUE"""),46137.0)</f>
        <v>46137</v>
      </c>
      <c r="D97" s="34" t="str">
        <f>IFERROR(__xludf.DUMMYFUNCTION("""COMPUTED_VALUE"""),"DANI")</f>
        <v>DANI</v>
      </c>
    </row>
    <row r="98">
      <c r="A98" s="34" t="str">
        <f>IFERROR(__xludf.DUMMYFUNCTION("""COMPUTED_VALUE"""),"TISSUE")</f>
        <v>TISSUE</v>
      </c>
      <c r="B98" s="34">
        <f>IFERROR(__xludf.DUMMYFUNCTION("""COMPUTED_VALUE"""),1.0)</f>
        <v>1</v>
      </c>
      <c r="C98" s="37">
        <f>IFERROR(__xludf.DUMMYFUNCTION("""COMPUTED_VALUE"""),46137.0)</f>
        <v>46137</v>
      </c>
      <c r="D98" s="34" t="str">
        <f>IFERROR(__xludf.DUMMYFUNCTION("""COMPUTED_VALUE"""),"DANI")</f>
        <v>DANI</v>
      </c>
    </row>
    <row r="99">
      <c r="A99" s="34" t="str">
        <f>IFERROR(__xludf.DUMMYFUNCTION("""COMPUTED_VALUE"""),"MASKER")</f>
        <v>MASKER</v>
      </c>
      <c r="B99" s="34">
        <f>IFERROR(__xludf.DUMMYFUNCTION("""COMPUTED_VALUE"""),1.0)</f>
        <v>1</v>
      </c>
      <c r="C99" s="37">
        <f>IFERROR(__xludf.DUMMYFUNCTION("""COMPUTED_VALUE"""),46137.0)</f>
        <v>46137</v>
      </c>
      <c r="D99" s="34" t="str">
        <f>IFERROR(__xludf.DUMMYFUNCTION("""COMPUTED_VALUE"""),"ILYAS")</f>
        <v>ILYAS</v>
      </c>
    </row>
    <row r="100">
      <c r="A100" s="34" t="str">
        <f>IFERROR(__xludf.DUMMYFUNCTION("""COMPUTED_VALUE"""),"LATEX SARUNG TANGAN ")</f>
        <v>LATEX SARUNG TANGAN </v>
      </c>
      <c r="B100" s="34">
        <f>IFERROR(__xludf.DUMMYFUNCTION("""COMPUTED_VALUE"""),1.0)</f>
        <v>1</v>
      </c>
      <c r="C100" s="37">
        <f>IFERROR(__xludf.DUMMYFUNCTION("""COMPUTED_VALUE"""),46137.0)</f>
        <v>46137</v>
      </c>
      <c r="D100" s="34" t="str">
        <f>IFERROR(__xludf.DUMMYFUNCTION("""COMPUTED_VALUE"""),"ILYAS")</f>
        <v>ILYAS</v>
      </c>
    </row>
    <row r="101">
      <c r="A101" s="34" t="str">
        <f>IFERROR(__xludf.DUMMYFUNCTION("""COMPUTED_VALUE"""),"SHAMPO MOBIL")</f>
        <v>SHAMPO MOBIL</v>
      </c>
      <c r="B101" s="34">
        <f>IFERROR(__xludf.DUMMYFUNCTION("""COMPUTED_VALUE"""),1.0)</f>
        <v>1</v>
      </c>
      <c r="C101" s="37">
        <f>IFERROR(__xludf.DUMMYFUNCTION("""COMPUTED_VALUE"""),46137.0)</f>
        <v>46137</v>
      </c>
      <c r="D101" s="34" t="str">
        <f>IFERROR(__xludf.DUMMYFUNCTION("""COMPUTED_VALUE"""),"ERWIN")</f>
        <v>ERWIN</v>
      </c>
    </row>
    <row r="102">
      <c r="A102" s="34" t="str">
        <f>IFERROR(__xludf.DUMMYFUNCTION("""COMPUTED_VALUE"""),"MASKER")</f>
        <v>MASKER</v>
      </c>
      <c r="B102" s="34">
        <f>IFERROR(__xludf.DUMMYFUNCTION("""COMPUTED_VALUE"""),1.0)</f>
        <v>1</v>
      </c>
      <c r="C102" s="37">
        <f>IFERROR(__xludf.DUMMYFUNCTION("""COMPUTED_VALUE"""),46138.0)</f>
        <v>46138</v>
      </c>
      <c r="D102" s="34" t="str">
        <f>IFERROR(__xludf.DUMMYFUNCTION("""COMPUTED_VALUE"""),"AINI")</f>
        <v>AINI</v>
      </c>
    </row>
    <row r="103">
      <c r="A103" s="34" t="str">
        <f>IFERROR(__xludf.DUMMYFUNCTION("""COMPUTED_VALUE"""),"LATEX SARUNG TANGAN ")</f>
        <v>LATEX SARUNG TANGAN </v>
      </c>
      <c r="B103" s="34">
        <f>IFERROR(__xludf.DUMMYFUNCTION("""COMPUTED_VALUE"""),1.0)</f>
        <v>1</v>
      </c>
      <c r="C103" s="37">
        <f>IFERROR(__xludf.DUMMYFUNCTION("""COMPUTED_VALUE"""),46138.0)</f>
        <v>46138</v>
      </c>
      <c r="D103" s="34" t="str">
        <f>IFERROR(__xludf.DUMMYFUNCTION("""COMPUTED_VALUE"""),"AINI")</f>
        <v>AINI</v>
      </c>
    </row>
    <row r="104">
      <c r="A104" s="34" t="str">
        <f>IFERROR(__xludf.DUMMYFUNCTION("""COMPUTED_VALUE"""),"KERTAS HVS A4")</f>
        <v>KERTAS HVS A4</v>
      </c>
      <c r="B104" s="34">
        <f>IFERROR(__xludf.DUMMYFUNCTION("""COMPUTED_VALUE"""),1.0)</f>
        <v>1</v>
      </c>
      <c r="C104" s="37">
        <f>IFERROR(__xludf.DUMMYFUNCTION("""COMPUTED_VALUE"""),46138.0)</f>
        <v>46138</v>
      </c>
      <c r="D104" s="34" t="str">
        <f>IFERROR(__xludf.DUMMYFUNCTION("""COMPUTED_VALUE"""),"AINI")</f>
        <v>AINI</v>
      </c>
    </row>
    <row r="105">
      <c r="A105" s="34" t="str">
        <f>IFERROR(__xludf.DUMMYFUNCTION("""COMPUTED_VALUE"""),"PULPEN HITAM")</f>
        <v>PULPEN HITAM</v>
      </c>
      <c r="B105" s="34">
        <f>IFERROR(__xludf.DUMMYFUNCTION("""COMPUTED_VALUE"""),2.0)</f>
        <v>2</v>
      </c>
      <c r="C105" s="37">
        <f>IFERROR(__xludf.DUMMYFUNCTION("""COMPUTED_VALUE"""),46138.0)</f>
        <v>46138</v>
      </c>
      <c r="D105" s="34" t="str">
        <f>IFERROR(__xludf.DUMMYFUNCTION("""COMPUTED_VALUE"""),"AINI")</f>
        <v>AINI</v>
      </c>
    </row>
    <row r="106">
      <c r="A106" s="34" t="str">
        <f>IFERROR(__xludf.DUMMYFUNCTION("""COMPUTED_VALUE"""),"SALONPAS")</f>
        <v>SALONPAS</v>
      </c>
      <c r="B106" s="34">
        <f>IFERROR(__xludf.DUMMYFUNCTION("""COMPUTED_VALUE"""),2.0)</f>
        <v>2</v>
      </c>
      <c r="C106" s="37">
        <f>IFERROR(__xludf.DUMMYFUNCTION("""COMPUTED_VALUE"""),46138.0)</f>
        <v>46138</v>
      </c>
      <c r="D106" s="34" t="str">
        <f>IFERROR(__xludf.DUMMYFUNCTION("""COMPUTED_VALUE"""),"AINI")</f>
        <v>AINI</v>
      </c>
    </row>
    <row r="107">
      <c r="A107" s="34" t="str">
        <f>IFERROR(__xludf.DUMMYFUNCTION("""COMPUTED_VALUE"""),"TINTA PRINTER L3201 HITAM")</f>
        <v>TINTA PRINTER L3201 HITAM</v>
      </c>
      <c r="B107" s="34">
        <f>IFERROR(__xludf.DUMMYFUNCTION("""COMPUTED_VALUE"""),1.0)</f>
        <v>1</v>
      </c>
      <c r="C107" s="37">
        <f>IFERROR(__xludf.DUMMYFUNCTION("""COMPUTED_VALUE"""),46138.0)</f>
        <v>46138</v>
      </c>
      <c r="D107" s="34" t="str">
        <f>IFERROR(__xludf.DUMMYFUNCTION("""COMPUTED_VALUE"""),"AINI")</f>
        <v>AINI</v>
      </c>
    </row>
    <row r="108">
      <c r="A108" s="34" t="str">
        <f>IFERROR(__xludf.DUMMYFUNCTION("""COMPUTED_VALUE"""),"DETERJEN PEWANGI PAKAIAN")</f>
        <v>DETERJEN PEWANGI PAKAIAN</v>
      </c>
      <c r="B108" s="34">
        <f>IFERROR(__xludf.DUMMYFUNCTION("""COMPUTED_VALUE"""),1.0)</f>
        <v>1</v>
      </c>
      <c r="C108" s="37">
        <f>IFERROR(__xludf.DUMMYFUNCTION("""COMPUTED_VALUE"""),46138.0)</f>
        <v>46138</v>
      </c>
      <c r="D108" s="34" t="str">
        <f>IFERROR(__xludf.DUMMYFUNCTION("""COMPUTED_VALUE"""),"FAREL")</f>
        <v>FAREL</v>
      </c>
    </row>
    <row r="109">
      <c r="A109" s="34" t="str">
        <f>IFERROR(__xludf.DUMMYFUNCTION("""COMPUTED_VALUE"""),"DETERJEN CAIR")</f>
        <v>DETERJEN CAIR</v>
      </c>
      <c r="B109" s="34">
        <f>IFERROR(__xludf.DUMMYFUNCTION("""COMPUTED_VALUE"""),1.0)</f>
        <v>1</v>
      </c>
      <c r="C109" s="37">
        <f>IFERROR(__xludf.DUMMYFUNCTION("""COMPUTED_VALUE"""),46138.0)</f>
        <v>46138</v>
      </c>
      <c r="D109" s="34" t="str">
        <f>IFERROR(__xludf.DUMMYFUNCTION("""COMPUTED_VALUE"""),"FAREL")</f>
        <v>FAREL</v>
      </c>
    </row>
    <row r="110">
      <c r="A110" s="34" t="str">
        <f>IFERROR(__xludf.DUMMYFUNCTION("""COMPUTED_VALUE"""),"MASKER")</f>
        <v>MASKER</v>
      </c>
      <c r="B110" s="34">
        <f>IFERROR(__xludf.DUMMYFUNCTION("""COMPUTED_VALUE"""),1.0)</f>
        <v>1</v>
      </c>
      <c r="C110" s="37">
        <f>IFERROR(__xludf.DUMMYFUNCTION("""COMPUTED_VALUE"""),46138.0)</f>
        <v>46138</v>
      </c>
      <c r="D110" s="34" t="str">
        <f>IFERROR(__xludf.DUMMYFUNCTION("""COMPUTED_VALUE"""),"BAGAS")</f>
        <v>BAGAS</v>
      </c>
    </row>
    <row r="111">
      <c r="A111" s="34" t="str">
        <f>IFERROR(__xludf.DUMMYFUNCTION("""COMPUTED_VALUE"""),"MASKER")</f>
        <v>MASKER</v>
      </c>
      <c r="B111" s="34">
        <f>IFERROR(__xludf.DUMMYFUNCTION("""COMPUTED_VALUE"""),1.0)</f>
        <v>1</v>
      </c>
      <c r="C111" s="37">
        <f>IFERROR(__xludf.DUMMYFUNCTION("""COMPUTED_VALUE"""),46138.0)</f>
        <v>46138</v>
      </c>
      <c r="D111" s="34" t="str">
        <f>IFERROR(__xludf.DUMMYFUNCTION("""COMPUTED_VALUE"""),"DANI")</f>
        <v>DANI</v>
      </c>
    </row>
    <row r="112">
      <c r="A112" s="34" t="str">
        <f>IFERROR(__xludf.DUMMYFUNCTION("""COMPUTED_VALUE"""),"LATEX SARUNG TANGAN ")</f>
        <v>LATEX SARUNG TANGAN </v>
      </c>
      <c r="B112" s="34">
        <f>IFERROR(__xludf.DUMMYFUNCTION("""COMPUTED_VALUE"""),1.0)</f>
        <v>1</v>
      </c>
      <c r="C112" s="36">
        <f>IFERROR(__xludf.DUMMYFUNCTION("""COMPUTED_VALUE"""),46168.0)</f>
        <v>46168</v>
      </c>
      <c r="D112" s="34" t="str">
        <f>IFERROR(__xludf.DUMMYFUNCTION("""COMPUTED_VALUE"""),"DANI")</f>
        <v>DANI</v>
      </c>
    </row>
    <row r="113">
      <c r="A113" s="34" t="str">
        <f>IFERROR(__xludf.DUMMYFUNCTION("""COMPUTED_VALUE"""),"MASKER")</f>
        <v>MASKER</v>
      </c>
      <c r="B113" s="34">
        <f>IFERROR(__xludf.DUMMYFUNCTION("""COMPUTED_VALUE"""),1.0)</f>
        <v>1</v>
      </c>
      <c r="C113" s="37">
        <f>IFERROR(__xludf.DUMMYFUNCTION("""COMPUTED_VALUE"""),46139.0)</f>
        <v>46139</v>
      </c>
      <c r="D113" s="34" t="str">
        <f>IFERROR(__xludf.DUMMYFUNCTION("""COMPUTED_VALUE"""),"BAGAS")</f>
        <v>BAGAS</v>
      </c>
    </row>
    <row r="114">
      <c r="A114" s="34" t="str">
        <f>IFERROR(__xludf.DUMMYFUNCTION("""COMPUTED_VALUE"""),"LATEX SARUNG TANGAN ")</f>
        <v>LATEX SARUNG TANGAN </v>
      </c>
      <c r="B114" s="34">
        <f>IFERROR(__xludf.DUMMYFUNCTION("""COMPUTED_VALUE"""),1.0)</f>
        <v>1</v>
      </c>
      <c r="C114" s="37">
        <f>IFERROR(__xludf.DUMMYFUNCTION("""COMPUTED_VALUE"""),46139.0)</f>
        <v>46139</v>
      </c>
      <c r="D114" s="34" t="str">
        <f>IFERROR(__xludf.DUMMYFUNCTION("""COMPUTED_VALUE"""),"BAGAS")</f>
        <v>BAGAS</v>
      </c>
    </row>
    <row r="115">
      <c r="A115" s="34" t="str">
        <f>IFERROR(__xludf.DUMMYFUNCTION("""COMPUTED_VALUE"""),"MASKER")</f>
        <v>MASKER</v>
      </c>
      <c r="B115" s="34">
        <f>IFERROR(__xludf.DUMMYFUNCTION("""COMPUTED_VALUE"""),1.0)</f>
        <v>1</v>
      </c>
      <c r="C115" s="37">
        <f>IFERROR(__xludf.DUMMYFUNCTION("""COMPUTED_VALUE"""),46139.0)</f>
        <v>46139</v>
      </c>
      <c r="D115" s="34" t="str">
        <f>IFERROR(__xludf.DUMMYFUNCTION("""COMPUTED_VALUE"""),"AINI")</f>
        <v>AINI</v>
      </c>
    </row>
    <row r="116">
      <c r="A116" s="34" t="str">
        <f>IFERROR(__xludf.DUMMYFUNCTION("""COMPUTED_VALUE"""),"LATEX SARUNG TANGAN ")</f>
        <v>LATEX SARUNG TANGAN </v>
      </c>
      <c r="B116" s="34">
        <f>IFERROR(__xludf.DUMMYFUNCTION("""COMPUTED_VALUE"""),1.0)</f>
        <v>1</v>
      </c>
      <c r="C116" s="37">
        <f>IFERROR(__xludf.DUMMYFUNCTION("""COMPUTED_VALUE"""),46139.0)</f>
        <v>46139</v>
      </c>
      <c r="D116" s="34" t="str">
        <f>IFERROR(__xludf.DUMMYFUNCTION("""COMPUTED_VALUE"""),"AINI")</f>
        <v>AINI</v>
      </c>
    </row>
    <row r="117">
      <c r="A117" s="34" t="str">
        <f>IFERROR(__xludf.DUMMYFUNCTION("""COMPUTED_VALUE"""),"SUSU ")</f>
        <v>SUSU </v>
      </c>
      <c r="B117" s="34">
        <f>IFERROR(__xludf.DUMMYFUNCTION("""COMPUTED_VALUE"""),48.0)</f>
        <v>48</v>
      </c>
      <c r="C117" s="37">
        <f>IFERROR(__xludf.DUMMYFUNCTION("""COMPUTED_VALUE"""),46139.0)</f>
        <v>46139</v>
      </c>
      <c r="D117" s="34" t="str">
        <f>IFERROR(__xludf.DUMMYFUNCTION("""COMPUTED_VALUE"""),"PANTRY")</f>
        <v>PANTRY</v>
      </c>
    </row>
    <row r="118">
      <c r="A118" s="34" t="str">
        <f>IFERROR(__xludf.DUMMYFUNCTION("""COMPUTED_VALUE"""),"SABUN LANTAI ")</f>
        <v>SABUN LANTAI </v>
      </c>
      <c r="B118" s="34">
        <f>IFERROR(__xludf.DUMMYFUNCTION("""COMPUTED_VALUE"""),1.0)</f>
        <v>1</v>
      </c>
      <c r="C118" s="37">
        <f>IFERROR(__xludf.DUMMYFUNCTION("""COMPUTED_VALUE"""),46139.0)</f>
        <v>46139</v>
      </c>
      <c r="D118" s="34" t="str">
        <f>IFERROR(__xludf.DUMMYFUNCTION("""COMPUTED_VALUE"""),"PANTRY")</f>
        <v>PANTRY</v>
      </c>
    </row>
    <row r="119">
      <c r="A119" s="34" t="str">
        <f>IFERROR(__xludf.DUMMYFUNCTION("""COMPUTED_VALUE"""),"MASKER")</f>
        <v>MASKER</v>
      </c>
      <c r="B119" s="34">
        <f>IFERROR(__xludf.DUMMYFUNCTION("""COMPUTED_VALUE"""),1.0)</f>
        <v>1</v>
      </c>
      <c r="C119" s="37">
        <f>IFERROR(__xludf.DUMMYFUNCTION("""COMPUTED_VALUE"""),46139.0)</f>
        <v>46139</v>
      </c>
      <c r="D119" s="34" t="str">
        <f>IFERROR(__xludf.DUMMYFUNCTION("""COMPUTED_VALUE"""),"DANI")</f>
        <v>DANI</v>
      </c>
    </row>
    <row r="120">
      <c r="A120" s="34" t="str">
        <f>IFERROR(__xludf.DUMMYFUNCTION("""COMPUTED_VALUE"""),"LATEX SARUNG TANGAN ")</f>
        <v>LATEX SARUNG TANGAN </v>
      </c>
      <c r="B120" s="34">
        <f>IFERROR(__xludf.DUMMYFUNCTION("""COMPUTED_VALUE"""),1.0)</f>
        <v>1</v>
      </c>
      <c r="C120" s="37">
        <f>IFERROR(__xludf.DUMMYFUNCTION("""COMPUTED_VALUE"""),46139.0)</f>
        <v>46139</v>
      </c>
      <c r="D120" s="34" t="str">
        <f>IFERROR(__xludf.DUMMYFUNCTION("""COMPUTED_VALUE"""),"DANI")</f>
        <v>DANI</v>
      </c>
    </row>
    <row r="121">
      <c r="A121" s="34" t="str">
        <f>IFERROR(__xludf.DUMMYFUNCTION("""COMPUTED_VALUE"""),"MASKER")</f>
        <v>MASKER</v>
      </c>
      <c r="B121" s="34">
        <f>IFERROR(__xludf.DUMMYFUNCTION("""COMPUTED_VALUE"""),1.0)</f>
        <v>1</v>
      </c>
      <c r="C121" s="37">
        <f>IFERROR(__xludf.DUMMYFUNCTION("""COMPUTED_VALUE"""),46139.0)</f>
        <v>46139</v>
      </c>
      <c r="D121" s="34" t="str">
        <f>IFERROR(__xludf.DUMMYFUNCTION("""COMPUTED_VALUE"""),"DANI")</f>
        <v>DANI</v>
      </c>
    </row>
    <row r="122">
      <c r="A122" s="34" t="str">
        <f>IFERROR(__xludf.DUMMYFUNCTION("""COMPUTED_VALUE"""),"MASKER")</f>
        <v>MASKER</v>
      </c>
      <c r="B122" s="34">
        <f>IFERROR(__xludf.DUMMYFUNCTION("""COMPUTED_VALUE"""),1.0)</f>
        <v>1</v>
      </c>
      <c r="C122" s="37">
        <f>IFERROR(__xludf.DUMMYFUNCTION("""COMPUTED_VALUE"""),46139.0)</f>
        <v>46139</v>
      </c>
      <c r="D122" s="34" t="str">
        <f>IFERROR(__xludf.DUMMYFUNCTION("""COMPUTED_VALUE"""),"DANI")</f>
        <v>DANI</v>
      </c>
    </row>
    <row r="123">
      <c r="A123" s="34" t="str">
        <f>IFERROR(__xludf.DUMMYFUNCTION("""COMPUTED_VALUE"""),"LATEX SARUNG TANGAN ")</f>
        <v>LATEX SARUNG TANGAN </v>
      </c>
      <c r="B123" s="34">
        <f>IFERROR(__xludf.DUMMYFUNCTION("""COMPUTED_VALUE"""),1.0)</f>
        <v>1</v>
      </c>
      <c r="C123" s="37">
        <f>IFERROR(__xludf.DUMMYFUNCTION("""COMPUTED_VALUE"""),46139.0)</f>
        <v>46139</v>
      </c>
      <c r="D123" s="34" t="str">
        <f>IFERROR(__xludf.DUMMYFUNCTION("""COMPUTED_VALUE"""),"DANI")</f>
        <v>DANI</v>
      </c>
    </row>
    <row r="124">
      <c r="A124" s="34" t="str">
        <f>IFERROR(__xludf.DUMMYFUNCTION("""COMPUTED_VALUE"""),"MASKER")</f>
        <v>MASKER</v>
      </c>
      <c r="B124" s="34">
        <f>IFERROR(__xludf.DUMMYFUNCTION("""COMPUTED_VALUE"""),1.0)</f>
        <v>1</v>
      </c>
      <c r="C124" s="37">
        <f>IFERROR(__xludf.DUMMYFUNCTION("""COMPUTED_VALUE"""),46140.0)</f>
        <v>46140</v>
      </c>
      <c r="D124" s="34" t="str">
        <f>IFERROR(__xludf.DUMMYFUNCTION("""COMPUTED_VALUE"""),"FARHAN")</f>
        <v>FARHAN</v>
      </c>
    </row>
    <row r="125">
      <c r="A125" s="34" t="str">
        <f>IFERROR(__xludf.DUMMYFUNCTION("""COMPUTED_VALUE"""),"LATEX SARUNG TANGAN ")</f>
        <v>LATEX SARUNG TANGAN </v>
      </c>
      <c r="B125" s="34">
        <f>IFERROR(__xludf.DUMMYFUNCTION("""COMPUTED_VALUE"""),1.0)</f>
        <v>1</v>
      </c>
      <c r="C125" s="36">
        <f>IFERROR(__xludf.DUMMYFUNCTION("""COMPUTED_VALUE"""),46140.0)</f>
        <v>46140</v>
      </c>
      <c r="D125" s="34" t="str">
        <f>IFERROR(__xludf.DUMMYFUNCTION("""COMPUTED_VALUE"""),"FARHAN")</f>
        <v>FARHAN</v>
      </c>
    </row>
    <row r="126">
      <c r="A126" s="34" t="str">
        <f>IFERROR(__xludf.DUMMYFUNCTION("""COMPUTED_VALUE"""),"TISSUE")</f>
        <v>TISSUE</v>
      </c>
      <c r="B126" s="34">
        <f>IFERROR(__xludf.DUMMYFUNCTION("""COMPUTED_VALUE"""),2.0)</f>
        <v>2</v>
      </c>
      <c r="C126" s="36">
        <f>IFERROR(__xludf.DUMMYFUNCTION("""COMPUTED_VALUE"""),46140.0)</f>
        <v>46140</v>
      </c>
      <c r="D126" s="34" t="str">
        <f>IFERROR(__xludf.DUMMYFUNCTION("""COMPUTED_VALUE"""),"TIKA")</f>
        <v>TIKA</v>
      </c>
    </row>
    <row r="127">
      <c r="A127" s="34" t="str">
        <f>IFERROR(__xludf.DUMMYFUNCTION("""COMPUTED_VALUE"""),"KERTAS HVS A4")</f>
        <v>KERTAS HVS A4</v>
      </c>
      <c r="B127" s="34">
        <f>IFERROR(__xludf.DUMMYFUNCTION("""COMPUTED_VALUE"""),1.0)</f>
        <v>1</v>
      </c>
      <c r="C127" s="36">
        <f>IFERROR(__xludf.DUMMYFUNCTION("""COMPUTED_VALUE"""),46140.0)</f>
        <v>46140</v>
      </c>
      <c r="D127" s="34" t="str">
        <f>IFERROR(__xludf.DUMMYFUNCTION("""COMPUTED_VALUE"""),"TIKA")</f>
        <v>TIKA</v>
      </c>
    </row>
    <row r="128">
      <c r="A128" s="34" t="str">
        <f>IFERROR(__xludf.DUMMYFUNCTION("""COMPUTED_VALUE"""),"PULPEN HITAM")</f>
        <v>PULPEN HITAM</v>
      </c>
      <c r="B128" s="34">
        <f>IFERROR(__xludf.DUMMYFUNCTION("""COMPUTED_VALUE"""),3.0)</f>
        <v>3</v>
      </c>
      <c r="C128" s="36">
        <f>IFERROR(__xludf.DUMMYFUNCTION("""COMPUTED_VALUE"""),46140.0)</f>
        <v>46140</v>
      </c>
      <c r="D128" s="34" t="str">
        <f>IFERROR(__xludf.DUMMYFUNCTION("""COMPUTED_VALUE"""),"CALVIN")</f>
        <v>CALVIN</v>
      </c>
    </row>
    <row r="129">
      <c r="A129" s="34" t="str">
        <f>IFERROR(__xludf.DUMMYFUNCTION("""COMPUTED_VALUE"""),"MASKER")</f>
        <v>MASKER</v>
      </c>
      <c r="B129" s="34">
        <f>IFERROR(__xludf.DUMMYFUNCTION("""COMPUTED_VALUE"""),1.0)</f>
        <v>1</v>
      </c>
      <c r="C129" s="36">
        <f>IFERROR(__xludf.DUMMYFUNCTION("""COMPUTED_VALUE"""),46140.0)</f>
        <v>46140</v>
      </c>
      <c r="D129" s="34" t="str">
        <f>IFERROR(__xludf.DUMMYFUNCTION("""COMPUTED_VALUE"""),"CALVIN")</f>
        <v>CALVIN</v>
      </c>
    </row>
    <row r="130">
      <c r="A130" s="34" t="str">
        <f>IFERROR(__xludf.DUMMYFUNCTION("""COMPUTED_VALUE"""),"MASKER")</f>
        <v>MASKER</v>
      </c>
      <c r="B130" s="34">
        <f>IFERROR(__xludf.DUMMYFUNCTION("""COMPUTED_VALUE"""),1.0)</f>
        <v>1</v>
      </c>
      <c r="C130" s="36">
        <f>IFERROR(__xludf.DUMMYFUNCTION("""COMPUTED_VALUE"""),46140.0)</f>
        <v>46140</v>
      </c>
      <c r="D130" s="34" t="str">
        <f>IFERROR(__xludf.DUMMYFUNCTION("""COMPUTED_VALUE"""),"CALVIN")</f>
        <v>CALVIN</v>
      </c>
    </row>
    <row r="131">
      <c r="A131" s="34" t="str">
        <f>IFERROR(__xludf.DUMMYFUNCTION("""COMPUTED_VALUE"""),"TISSUE")</f>
        <v>TISSUE</v>
      </c>
      <c r="B131" s="34">
        <f>IFERROR(__xludf.DUMMYFUNCTION("""COMPUTED_VALUE"""),1.0)</f>
        <v>1</v>
      </c>
      <c r="C131" s="36">
        <f>IFERROR(__xludf.DUMMYFUNCTION("""COMPUTED_VALUE"""),46140.0)</f>
        <v>46140</v>
      </c>
      <c r="D131" s="34" t="str">
        <f>IFERROR(__xludf.DUMMYFUNCTION("""COMPUTED_VALUE"""),"CALVIN")</f>
        <v>CALVIN</v>
      </c>
    </row>
    <row r="132">
      <c r="A132" s="34" t="str">
        <f>IFERROR(__xludf.DUMMYFUNCTION("""COMPUTED_VALUE"""),"MASKER")</f>
        <v>MASKER</v>
      </c>
      <c r="B132" s="34">
        <f>IFERROR(__xludf.DUMMYFUNCTION("""COMPUTED_VALUE"""),1.0)</f>
        <v>1</v>
      </c>
      <c r="C132" s="36">
        <f>IFERROR(__xludf.DUMMYFUNCTION("""COMPUTED_VALUE"""),46140.0)</f>
        <v>46140</v>
      </c>
      <c r="D132" s="34" t="str">
        <f>IFERROR(__xludf.DUMMYFUNCTION("""COMPUTED_VALUE"""),"DANI")</f>
        <v>DANI</v>
      </c>
    </row>
    <row r="133">
      <c r="A133" s="34" t="str">
        <f>IFERROR(__xludf.DUMMYFUNCTION("""COMPUTED_VALUE"""),"MASKER")</f>
        <v>MASKER</v>
      </c>
      <c r="B133" s="34">
        <f>IFERROR(__xludf.DUMMYFUNCTION("""COMPUTED_VALUE"""),1.0)</f>
        <v>1</v>
      </c>
      <c r="C133" s="36">
        <f>IFERROR(__xludf.DUMMYFUNCTION("""COMPUTED_VALUE"""),46140.0)</f>
        <v>46140</v>
      </c>
      <c r="D133" s="34" t="str">
        <f>IFERROR(__xludf.DUMMYFUNCTION("""COMPUTED_VALUE"""),"ILYAS")</f>
        <v>ILYAS</v>
      </c>
    </row>
    <row r="134">
      <c r="A134" s="34" t="str">
        <f>IFERROR(__xludf.DUMMYFUNCTION("""COMPUTED_VALUE"""),"HANDSPLAST WARNA WARNI")</f>
        <v>HANDSPLAST WARNA WARNI</v>
      </c>
      <c r="B134" s="34">
        <f>IFERROR(__xludf.DUMMYFUNCTION("""COMPUTED_VALUE"""),1.0)</f>
        <v>1</v>
      </c>
      <c r="C134" s="36">
        <f>IFERROR(__xludf.DUMMYFUNCTION("""COMPUTED_VALUE"""),46140.0)</f>
        <v>46140</v>
      </c>
      <c r="D134" s="34" t="str">
        <f>IFERROR(__xludf.DUMMYFUNCTION("""COMPUTED_VALUE"""),"ANISA")</f>
        <v>ANISA</v>
      </c>
    </row>
    <row r="135">
      <c r="A135" s="34" t="str">
        <f>IFERROR(__xludf.DUMMYFUNCTION("""COMPUTED_VALUE"""),"MASKER")</f>
        <v>MASKER</v>
      </c>
      <c r="B135" s="34">
        <f>IFERROR(__xludf.DUMMYFUNCTION("""COMPUTED_VALUE"""),1.0)</f>
        <v>1</v>
      </c>
      <c r="C135" s="36">
        <f>IFERROR(__xludf.DUMMYFUNCTION("""COMPUTED_VALUE"""),46140.0)</f>
        <v>46140</v>
      </c>
      <c r="D135" s="34" t="str">
        <f>IFERROR(__xludf.DUMMYFUNCTION("""COMPUTED_VALUE"""),"TIKA")</f>
        <v>TIKA</v>
      </c>
    </row>
    <row r="136">
      <c r="A136" s="34" t="str">
        <f>IFERROR(__xludf.DUMMYFUNCTION("""COMPUTED_VALUE"""),"TISSUE")</f>
        <v>TISSUE</v>
      </c>
      <c r="B136" s="34">
        <f>IFERROR(__xludf.DUMMYFUNCTION("""COMPUTED_VALUE"""),1.0)</f>
        <v>1</v>
      </c>
      <c r="C136" s="36">
        <f>IFERROR(__xludf.DUMMYFUNCTION("""COMPUTED_VALUE"""),46140.0)</f>
        <v>46140</v>
      </c>
      <c r="D136" s="34" t="str">
        <f>IFERROR(__xludf.DUMMYFUNCTION("""COMPUTED_VALUE"""),"TIKA")</f>
        <v>TIKA</v>
      </c>
    </row>
    <row r="137">
      <c r="A137" s="34" t="str">
        <f>IFERROR(__xludf.DUMMYFUNCTION("""COMPUTED_VALUE"""),"AIR MINERAL")</f>
        <v>AIR MINERAL</v>
      </c>
      <c r="B137" s="34">
        <f>IFERROR(__xludf.DUMMYFUNCTION("""COMPUTED_VALUE"""),48.0)</f>
        <v>48</v>
      </c>
      <c r="C137" s="36">
        <f>IFERROR(__xludf.DUMMYFUNCTION("""COMPUTED_VALUE"""),46141.0)</f>
        <v>46141</v>
      </c>
      <c r="D137" s="34" t="str">
        <f>IFERROR(__xludf.DUMMYFUNCTION("""COMPUTED_VALUE"""),"GA HERIYANTO")</f>
        <v>GA HERIYANTO</v>
      </c>
    </row>
    <row r="138">
      <c r="A138" s="34" t="str">
        <f>IFERROR(__xludf.DUMMYFUNCTION("""COMPUTED_VALUE"""),"PLASTIK SAMPAH")</f>
        <v>PLASTIK SAMPAH</v>
      </c>
      <c r="B138" s="34">
        <f>IFERROR(__xludf.DUMMYFUNCTION("""COMPUTED_VALUE"""),1.0)</f>
        <v>1</v>
      </c>
      <c r="C138" s="36">
        <f>IFERROR(__xludf.DUMMYFUNCTION("""COMPUTED_VALUE"""),46141.0)</f>
        <v>46141</v>
      </c>
      <c r="D138" s="34" t="str">
        <f>IFERROR(__xludf.DUMMYFUNCTION("""COMPUTED_VALUE"""),"GA HERIYANTO")</f>
        <v>GA HERIYANTO</v>
      </c>
    </row>
    <row r="139">
      <c r="A139" s="34" t="str">
        <f>IFERROR(__xludf.DUMMYFUNCTION("""COMPUTED_VALUE"""),"TEH BOTOL")</f>
        <v>TEH BOTOL</v>
      </c>
      <c r="B139" s="34">
        <f>IFERROR(__xludf.DUMMYFUNCTION("""COMPUTED_VALUE"""),24.0)</f>
        <v>24</v>
      </c>
      <c r="C139" s="36">
        <f>IFERROR(__xludf.DUMMYFUNCTION("""COMPUTED_VALUE"""),46141.0)</f>
        <v>46141</v>
      </c>
      <c r="D139" s="34" t="str">
        <f>IFERROR(__xludf.DUMMYFUNCTION("""COMPUTED_VALUE"""),"GA HERIYANTO")</f>
        <v>GA HERIYANTO</v>
      </c>
    </row>
    <row r="140">
      <c r="A140" s="34" t="str">
        <f>IFERROR(__xludf.DUMMYFUNCTION("""COMPUTED_VALUE"""),"TOPRON PEMBERSIH KERAMIK , PORCELAIN BOTOL 1 LITER ")</f>
        <v>TOPRON PEMBERSIH KERAMIK , PORCELAIN BOTOL 1 LITER </v>
      </c>
      <c r="B140" s="34">
        <f>IFERROR(__xludf.DUMMYFUNCTION("""COMPUTED_VALUE"""),1.0)</f>
        <v>1</v>
      </c>
      <c r="C140" s="36">
        <f>IFERROR(__xludf.DUMMYFUNCTION("""COMPUTED_VALUE"""),46141.0)</f>
        <v>46141</v>
      </c>
      <c r="D140" s="34" t="str">
        <f>IFERROR(__xludf.DUMMYFUNCTION("""COMPUTED_VALUE"""),"GA HERIYANTO")</f>
        <v>GA HERIYANTO</v>
      </c>
    </row>
    <row r="141">
      <c r="A141" s="34" t="str">
        <f>IFERROR(__xludf.DUMMYFUNCTION("""COMPUTED_VALUE"""),"PORSTEX")</f>
        <v>PORSTEX</v>
      </c>
      <c r="B141" s="34">
        <f>IFERROR(__xludf.DUMMYFUNCTION("""COMPUTED_VALUE"""),1.0)</f>
        <v>1</v>
      </c>
      <c r="C141" s="36">
        <f>IFERROR(__xludf.DUMMYFUNCTION("""COMPUTED_VALUE"""),46141.0)</f>
        <v>46141</v>
      </c>
      <c r="D141" s="34" t="str">
        <f>IFERROR(__xludf.DUMMYFUNCTION("""COMPUTED_VALUE"""),"GA HERIYANTO")</f>
        <v>GA HERIYANTO</v>
      </c>
    </row>
    <row r="142">
      <c r="A142" s="34" t="str">
        <f>IFERROR(__xludf.DUMMYFUNCTION("""COMPUTED_VALUE"""),"SUSU ")</f>
        <v>SUSU </v>
      </c>
      <c r="B142" s="34">
        <f>IFERROR(__xludf.DUMMYFUNCTION("""COMPUTED_VALUE"""),24.0)</f>
        <v>24</v>
      </c>
      <c r="C142" s="36">
        <f>IFERROR(__xludf.DUMMYFUNCTION("""COMPUTED_VALUE"""),46141.0)</f>
        <v>46141</v>
      </c>
      <c r="D142" s="34" t="str">
        <f>IFERROR(__xludf.DUMMYFUNCTION("""COMPUTED_VALUE"""),"GA RIYANTI")</f>
        <v>GA RIYANTI</v>
      </c>
    </row>
    <row r="143">
      <c r="A143" s="34" t="str">
        <f>IFERROR(__xludf.DUMMYFUNCTION("""COMPUTED_VALUE"""),"MASKER")</f>
        <v>MASKER</v>
      </c>
      <c r="B143" s="34">
        <f>IFERROR(__xludf.DUMMYFUNCTION("""COMPUTED_VALUE"""),1.0)</f>
        <v>1</v>
      </c>
      <c r="C143" s="36">
        <f>IFERROR(__xludf.DUMMYFUNCTION("""COMPUTED_VALUE"""),46141.0)</f>
        <v>46141</v>
      </c>
      <c r="D143" s="34" t="str">
        <f>IFERROR(__xludf.DUMMYFUNCTION("""COMPUTED_VALUE"""),"ADIT RMPM")</f>
        <v>ADIT RMPM</v>
      </c>
    </row>
    <row r="144">
      <c r="A144" s="34" t="str">
        <f>IFERROR(__xludf.DUMMYFUNCTION("""COMPUTED_VALUE"""),"MASKER")</f>
        <v>MASKER</v>
      </c>
      <c r="B144" s="34">
        <f>IFERROR(__xludf.DUMMYFUNCTION("""COMPUTED_VALUE"""),1.0)</f>
        <v>1</v>
      </c>
      <c r="C144" s="36">
        <f>IFERROR(__xludf.DUMMYFUNCTION("""COMPUTED_VALUE"""),46141.0)</f>
        <v>46141</v>
      </c>
      <c r="D144" s="34" t="str">
        <f>IFERROR(__xludf.DUMMYFUNCTION("""COMPUTED_VALUE"""),"ADIT RMPM")</f>
        <v>ADIT RMPM</v>
      </c>
    </row>
    <row r="145">
      <c r="A145" s="34" t="str">
        <f>IFERROR(__xludf.DUMMYFUNCTION("""COMPUTED_VALUE"""),"MASKER")</f>
        <v>MASKER</v>
      </c>
      <c r="B145" s="34">
        <f>IFERROR(__xludf.DUMMYFUNCTION("""COMPUTED_VALUE"""),2.0)</f>
        <v>2</v>
      </c>
      <c r="C145" s="36">
        <f>IFERROR(__xludf.DUMMYFUNCTION("""COMPUTED_VALUE"""),46141.0)</f>
        <v>46141</v>
      </c>
      <c r="D145" s="34" t="str">
        <f>IFERROR(__xludf.DUMMYFUNCTION("""COMPUTED_VALUE"""),"PANTRY SADAH")</f>
        <v>PANTRY SADAH</v>
      </c>
    </row>
    <row r="146">
      <c r="A146" s="34" t="str">
        <f>IFERROR(__xludf.DUMMYFUNCTION("""COMPUTED_VALUE"""),"TISSUE")</f>
        <v>TISSUE</v>
      </c>
      <c r="B146" s="34">
        <f>IFERROR(__xludf.DUMMYFUNCTION("""COMPUTED_VALUE"""),1.0)</f>
        <v>1</v>
      </c>
      <c r="C146" s="36">
        <f>IFERROR(__xludf.DUMMYFUNCTION("""COMPUTED_VALUE"""),46141.0)</f>
        <v>46141</v>
      </c>
      <c r="D146" s="34" t="str">
        <f>IFERROR(__xludf.DUMMYFUNCTION("""COMPUTED_VALUE"""),"PANTRY SADAH")</f>
        <v>PANTRY SADAH</v>
      </c>
    </row>
    <row r="147">
      <c r="A147" s="34" t="str">
        <f>IFERROR(__xludf.DUMMYFUNCTION("""COMPUTED_VALUE"""),"HAIRNET KAIN")</f>
        <v>HAIRNET KAIN</v>
      </c>
      <c r="B147" s="34">
        <f>IFERROR(__xludf.DUMMYFUNCTION("""COMPUTED_VALUE"""),2.0)</f>
        <v>2</v>
      </c>
      <c r="C147" s="36">
        <f>IFERROR(__xludf.DUMMYFUNCTION("""COMPUTED_VALUE"""),46141.0)</f>
        <v>46141</v>
      </c>
      <c r="D147" s="34" t="str">
        <f>IFERROR(__xludf.DUMMYFUNCTION("""COMPUTED_VALUE"""),"PANTRY SADAH")</f>
        <v>PANTRY SADAH</v>
      </c>
    </row>
    <row r="148">
      <c r="A148" s="34" t="str">
        <f>IFERROR(__xludf.DUMMYFUNCTION("""COMPUTED_VALUE"""),"SABUN CUCI PIRING ")</f>
        <v>SABUN CUCI PIRING </v>
      </c>
      <c r="B148" s="34">
        <f>IFERROR(__xludf.DUMMYFUNCTION("""COMPUTED_VALUE"""),1.0)</f>
        <v>1</v>
      </c>
      <c r="C148" s="36">
        <f>IFERROR(__xludf.DUMMYFUNCTION("""COMPUTED_VALUE"""),46141.0)</f>
        <v>46141</v>
      </c>
      <c r="D148" s="34" t="str">
        <f>IFERROR(__xludf.DUMMYFUNCTION("""COMPUTED_VALUE"""),"PANTRY SADAH")</f>
        <v>PANTRY SADAH</v>
      </c>
    </row>
    <row r="149">
      <c r="A149" s="34" t="str">
        <f>IFERROR(__xludf.DUMMYFUNCTION("""COMPUTED_VALUE"""),"MASKER")</f>
        <v>MASKER</v>
      </c>
      <c r="B149" s="34">
        <f>IFERROR(__xludf.DUMMYFUNCTION("""COMPUTED_VALUE"""),1.0)</f>
        <v>1</v>
      </c>
      <c r="C149" s="36">
        <f>IFERROR(__xludf.DUMMYFUNCTION("""COMPUTED_VALUE"""),46141.0)</f>
        <v>46141</v>
      </c>
      <c r="D149" s="34" t="str">
        <f>IFERROR(__xludf.DUMMYFUNCTION("""COMPUTED_VALUE"""),"TIKA")</f>
        <v>TIKA</v>
      </c>
    </row>
    <row r="150">
      <c r="A150" s="34" t="str">
        <f>IFERROR(__xludf.DUMMYFUNCTION("""COMPUTED_VALUE"""),"MASKER")</f>
        <v>MASKER</v>
      </c>
      <c r="B150" s="34">
        <f>IFERROR(__xludf.DUMMYFUNCTION("""COMPUTED_VALUE"""),1.0)</f>
        <v>1</v>
      </c>
      <c r="C150" s="36">
        <f>IFERROR(__xludf.DUMMYFUNCTION("""COMPUTED_VALUE"""),46141.0)</f>
        <v>46141</v>
      </c>
      <c r="D150" s="34" t="str">
        <f>IFERROR(__xludf.DUMMYFUNCTION("""COMPUTED_VALUE"""),"TIKA")</f>
        <v>TIKA</v>
      </c>
    </row>
    <row r="151">
      <c r="A151" s="34" t="str">
        <f>IFERROR(__xludf.DUMMYFUNCTION("""COMPUTED_VALUE"""),"LATEX SARUNG TANGAN ")</f>
        <v>LATEX SARUNG TANGAN </v>
      </c>
      <c r="B151" s="34">
        <f>IFERROR(__xludf.DUMMYFUNCTION("""COMPUTED_VALUE"""),1.0)</f>
        <v>1</v>
      </c>
      <c r="C151" s="36">
        <f>IFERROR(__xludf.DUMMYFUNCTION("""COMPUTED_VALUE"""),46141.0)</f>
        <v>46141</v>
      </c>
      <c r="D151" s="34" t="str">
        <f>IFERROR(__xludf.DUMMYFUNCTION("""COMPUTED_VALUE"""),"TIKA")</f>
        <v>TIKA</v>
      </c>
    </row>
    <row r="152">
      <c r="A152" s="34" t="str">
        <f>IFERROR(__xludf.DUMMYFUNCTION("""COMPUTED_VALUE"""),"LATEX SARUNG TANGAN ")</f>
        <v>LATEX SARUNG TANGAN </v>
      </c>
      <c r="B152" s="34">
        <f>IFERROR(__xludf.DUMMYFUNCTION("""COMPUTED_VALUE"""),1.0)</f>
        <v>1</v>
      </c>
      <c r="C152" s="36">
        <f>IFERROR(__xludf.DUMMYFUNCTION("""COMPUTED_VALUE"""),46141.0)</f>
        <v>46141</v>
      </c>
      <c r="D152" s="34" t="str">
        <f>IFERROR(__xludf.DUMMYFUNCTION("""COMPUTED_VALUE"""),"FARHAN")</f>
        <v>FARHAN</v>
      </c>
    </row>
    <row r="153">
      <c r="A153" s="34" t="str">
        <f>IFERROR(__xludf.DUMMYFUNCTION("""COMPUTED_VALUE"""),"MASKER")</f>
        <v>MASKER</v>
      </c>
      <c r="B153" s="34">
        <f>IFERROR(__xludf.DUMMYFUNCTION("""COMPUTED_VALUE"""),1.0)</f>
        <v>1</v>
      </c>
      <c r="C153" s="36">
        <f>IFERROR(__xludf.DUMMYFUNCTION("""COMPUTED_VALUE"""),46141.0)</f>
        <v>46141</v>
      </c>
      <c r="D153" s="34" t="str">
        <f>IFERROR(__xludf.DUMMYFUNCTION("""COMPUTED_VALUE"""),"FARHAN")</f>
        <v>FARHAN</v>
      </c>
    </row>
    <row r="154">
      <c r="A154" s="34" t="str">
        <f>IFERROR(__xludf.DUMMYFUNCTION("""COMPUTED_VALUE"""),"HAIRNET KAIN")</f>
        <v>HAIRNET KAIN</v>
      </c>
      <c r="B154" s="34">
        <f>IFERROR(__xludf.DUMMYFUNCTION("""COMPUTED_VALUE"""),2.0)</f>
        <v>2</v>
      </c>
      <c r="C154" s="36">
        <f>IFERROR(__xludf.DUMMYFUNCTION("""COMPUTED_VALUE"""),46141.0)</f>
        <v>46141</v>
      </c>
      <c r="D154" s="34" t="str">
        <f>IFERROR(__xludf.DUMMYFUNCTION("""COMPUTED_VALUE"""),"PRODUKSI")</f>
        <v>PRODUKSI</v>
      </c>
    </row>
    <row r="155">
      <c r="A155" s="34" t="str">
        <f>IFERROR(__xludf.DUMMYFUNCTION("""COMPUTED_VALUE"""),"PLASTIK SAMPAH")</f>
        <v>PLASTIK SAMPAH</v>
      </c>
      <c r="B155" s="34">
        <f>IFERROR(__xludf.DUMMYFUNCTION("""COMPUTED_VALUE"""),1.0)</f>
        <v>1</v>
      </c>
      <c r="C155" s="36">
        <f>IFERROR(__xludf.DUMMYFUNCTION("""COMPUTED_VALUE"""),46141.0)</f>
        <v>46141</v>
      </c>
      <c r="D155" s="34" t="str">
        <f>IFERROR(__xludf.DUMMYFUNCTION("""COMPUTED_VALUE"""),"FAREL")</f>
        <v>FAREL</v>
      </c>
    </row>
    <row r="156">
      <c r="A156" s="34" t="str">
        <f>IFERROR(__xludf.DUMMYFUNCTION("""COMPUTED_VALUE"""),"MASKER")</f>
        <v>MASKER</v>
      </c>
      <c r="B156" s="34">
        <f>IFERROR(__xludf.DUMMYFUNCTION("""COMPUTED_VALUE"""),1.0)</f>
        <v>1</v>
      </c>
      <c r="C156" s="36">
        <f>IFERROR(__xludf.DUMMYFUNCTION("""COMPUTED_VALUE"""),46142.0)</f>
        <v>46142</v>
      </c>
      <c r="D156" s="34" t="str">
        <f>IFERROR(__xludf.DUMMYFUNCTION("""COMPUTED_VALUE"""),"FITA")</f>
        <v>FITA</v>
      </c>
    </row>
    <row r="157">
      <c r="A157" s="34" t="str">
        <f>IFERROR(__xludf.DUMMYFUNCTION("""COMPUTED_VALUE"""),"SPIDOL HITAM")</f>
        <v>SPIDOL HITAM</v>
      </c>
      <c r="B157" s="34">
        <f>IFERROR(__xludf.DUMMYFUNCTION("""COMPUTED_VALUE"""),3.0)</f>
        <v>3</v>
      </c>
      <c r="C157" s="36">
        <f>IFERROR(__xludf.DUMMYFUNCTION("""COMPUTED_VALUE"""),46142.0)</f>
        <v>46142</v>
      </c>
      <c r="D157" s="34" t="str">
        <f>IFERROR(__xludf.DUMMYFUNCTION("""COMPUTED_VALUE"""),"FITA")</f>
        <v>FITA</v>
      </c>
    </row>
    <row r="158">
      <c r="A158" s="34" t="str">
        <f>IFERROR(__xludf.DUMMYFUNCTION("""COMPUTED_VALUE"""),"SPIDOL MERAH")</f>
        <v>SPIDOL MERAH</v>
      </c>
      <c r="B158" s="34">
        <f>IFERROR(__xludf.DUMMYFUNCTION("""COMPUTED_VALUE"""),1.0)</f>
        <v>1</v>
      </c>
      <c r="C158" s="36">
        <f>IFERROR(__xludf.DUMMYFUNCTION("""COMPUTED_VALUE"""),46142.0)</f>
        <v>46142</v>
      </c>
      <c r="D158" s="34" t="str">
        <f>IFERROR(__xludf.DUMMYFUNCTION("""COMPUTED_VALUE"""),"FITA")</f>
        <v>FITA</v>
      </c>
    </row>
    <row r="159">
      <c r="A159" s="34" t="str">
        <f>IFERROR(__xludf.DUMMYFUNCTION("""COMPUTED_VALUE"""),"MASKER")</f>
        <v>MASKER</v>
      </c>
      <c r="B159" s="34">
        <f>IFERROR(__xludf.DUMMYFUNCTION("""COMPUTED_VALUE"""),1.0)</f>
        <v>1</v>
      </c>
      <c r="C159" s="36">
        <f>IFERROR(__xludf.DUMMYFUNCTION("""COMPUTED_VALUE"""),46142.0)</f>
        <v>46142</v>
      </c>
      <c r="D159" s="34" t="str">
        <f>IFERROR(__xludf.DUMMYFUNCTION("""COMPUTED_VALUE"""),"FITA")</f>
        <v>FITA</v>
      </c>
    </row>
    <row r="160">
      <c r="A160" s="34" t="str">
        <f>IFERROR(__xludf.DUMMYFUNCTION("""COMPUTED_VALUE"""),"LATEX SARUNG TANGAN ")</f>
        <v>LATEX SARUNG TANGAN </v>
      </c>
      <c r="B160" s="34">
        <f>IFERROR(__xludf.DUMMYFUNCTION("""COMPUTED_VALUE"""),1.0)</f>
        <v>1</v>
      </c>
      <c r="C160" s="36">
        <f>IFERROR(__xludf.DUMMYFUNCTION("""COMPUTED_VALUE"""),46142.0)</f>
        <v>46142</v>
      </c>
      <c r="D160" s="34" t="str">
        <f>IFERROR(__xludf.DUMMYFUNCTION("""COMPUTED_VALUE"""),"FITA")</f>
        <v>FITA</v>
      </c>
    </row>
    <row r="161">
      <c r="A161" s="34" t="str">
        <f>IFERROR(__xludf.DUMMYFUNCTION("""COMPUTED_VALUE"""),"TISSUE")</f>
        <v>TISSUE</v>
      </c>
      <c r="B161" s="34">
        <f>IFERROR(__xludf.DUMMYFUNCTION("""COMPUTED_VALUE"""),1.0)</f>
        <v>1</v>
      </c>
      <c r="C161" s="36">
        <f>IFERROR(__xludf.DUMMYFUNCTION("""COMPUTED_VALUE"""),46142.0)</f>
        <v>46142</v>
      </c>
      <c r="D161" s="34" t="str">
        <f>IFERROR(__xludf.DUMMYFUNCTION("""COMPUTED_VALUE"""),"FITA")</f>
        <v>FITA</v>
      </c>
    </row>
    <row r="162">
      <c r="A162" s="34" t="str">
        <f>IFERROR(__xludf.DUMMYFUNCTION("""COMPUTED_VALUE"""),"MASKER")</f>
        <v>MASKER</v>
      </c>
      <c r="B162" s="34">
        <f>IFERROR(__xludf.DUMMYFUNCTION("""COMPUTED_VALUE"""),1.0)</f>
        <v>1</v>
      </c>
      <c r="C162" s="36">
        <f>IFERROR(__xludf.DUMMYFUNCTION("""COMPUTED_VALUE"""),46142.0)</f>
        <v>46142</v>
      </c>
      <c r="D162" s="34" t="str">
        <f>IFERROR(__xludf.DUMMYFUNCTION("""COMPUTED_VALUE"""),"ILYAS")</f>
        <v>ILYAS</v>
      </c>
    </row>
    <row r="163">
      <c r="A163" s="34" t="str">
        <f>IFERROR(__xludf.DUMMYFUNCTION("""COMPUTED_VALUE"""),"TISSUE")</f>
        <v>TISSUE</v>
      </c>
      <c r="B163" s="34">
        <f>IFERROR(__xludf.DUMMYFUNCTION("""COMPUTED_VALUE"""),1.0)</f>
        <v>1</v>
      </c>
      <c r="C163" s="36">
        <f>IFERROR(__xludf.DUMMYFUNCTION("""COMPUTED_VALUE"""),46142.0)</f>
        <v>46142</v>
      </c>
      <c r="D163" s="34" t="str">
        <f>IFERROR(__xludf.DUMMYFUNCTION("""COMPUTED_VALUE"""),"ILYAS")</f>
        <v>ILYAS</v>
      </c>
    </row>
    <row r="164">
      <c r="A164" s="34" t="str">
        <f>IFERROR(__xludf.DUMMYFUNCTION("""COMPUTED_VALUE"""),"SABUN CUCI PIRING ")</f>
        <v>SABUN CUCI PIRING </v>
      </c>
      <c r="B164" s="34">
        <f>IFERROR(__xludf.DUMMYFUNCTION("""COMPUTED_VALUE"""),1.0)</f>
        <v>1</v>
      </c>
      <c r="C164" s="36">
        <f>IFERROR(__xludf.DUMMYFUNCTION("""COMPUTED_VALUE"""),46142.0)</f>
        <v>46142</v>
      </c>
      <c r="D164" s="34" t="str">
        <f>IFERROR(__xludf.DUMMYFUNCTION("""COMPUTED_VALUE"""),"FALIG")</f>
        <v>FALIG</v>
      </c>
    </row>
    <row r="165">
      <c r="A165" s="34" t="str">
        <f>IFERROR(__xludf.DUMMYFUNCTION("""COMPUTED_VALUE"""),"HAIRNET KAIN")</f>
        <v>HAIRNET KAIN</v>
      </c>
      <c r="B165" s="34">
        <f>IFERROR(__xludf.DUMMYFUNCTION("""COMPUTED_VALUE"""),1.0)</f>
        <v>1</v>
      </c>
      <c r="C165" s="36">
        <f>IFERROR(__xludf.DUMMYFUNCTION("""COMPUTED_VALUE"""),46142.0)</f>
        <v>46142</v>
      </c>
      <c r="D165" s="34" t="str">
        <f>IFERROR(__xludf.DUMMYFUNCTION("""COMPUTED_VALUE"""),"PRODUKSI")</f>
        <v>PRODUKSI</v>
      </c>
    </row>
    <row r="166">
      <c r="A166" s="34" t="str">
        <f>IFERROR(__xludf.DUMMYFUNCTION("""COMPUTED_VALUE"""),"MASKER")</f>
        <v>MASKER</v>
      </c>
      <c r="B166" s="34">
        <f>IFERROR(__xludf.DUMMYFUNCTION("""COMPUTED_VALUE"""),1.0)</f>
        <v>1</v>
      </c>
      <c r="C166" s="36">
        <f>IFERROR(__xludf.DUMMYFUNCTION("""COMPUTED_VALUE"""),46142.0)</f>
        <v>46142</v>
      </c>
      <c r="D166" s="34" t="str">
        <f>IFERROR(__xludf.DUMMYFUNCTION("""COMPUTED_VALUE"""),"ILYAS")</f>
        <v>ILYAS</v>
      </c>
    </row>
    <row r="167">
      <c r="A167" s="34" t="str">
        <f>IFERROR(__xludf.DUMMYFUNCTION("""COMPUTED_VALUE"""),"LATEX SARUNG TANGAN ")</f>
        <v>LATEX SARUNG TANGAN </v>
      </c>
      <c r="B167" s="34">
        <f>IFERROR(__xludf.DUMMYFUNCTION("""COMPUTED_VALUE"""),1.0)</f>
        <v>1</v>
      </c>
      <c r="C167" s="36">
        <f>IFERROR(__xludf.DUMMYFUNCTION("""COMPUTED_VALUE"""),46142.0)</f>
        <v>46142</v>
      </c>
      <c r="D167" s="34" t="str">
        <f>IFERROR(__xludf.DUMMYFUNCTION("""COMPUTED_VALUE"""),"ILYAS")</f>
        <v>ILYAS</v>
      </c>
    </row>
    <row r="168">
      <c r="A168" s="34" t="str">
        <f>IFERROR(__xludf.DUMMYFUNCTION("""COMPUTED_VALUE"""),"HAIRNET KAIN")</f>
        <v>HAIRNET KAIN</v>
      </c>
      <c r="B168" s="34">
        <f>IFERROR(__xludf.DUMMYFUNCTION("""COMPUTED_VALUE"""),2.0)</f>
        <v>2</v>
      </c>
      <c r="C168" s="36">
        <f>IFERROR(__xludf.DUMMYFUNCTION("""COMPUTED_VALUE"""),46142.0)</f>
        <v>46142</v>
      </c>
      <c r="D168" s="34" t="str">
        <f>IFERROR(__xludf.DUMMYFUNCTION("""COMPUTED_VALUE"""),"GA")</f>
        <v>GA</v>
      </c>
    </row>
    <row r="169">
      <c r="A169" s="34" t="str">
        <f>IFERROR(__xludf.DUMMYFUNCTION("""COMPUTED_VALUE"""),"BAYGON")</f>
        <v>BAYGON</v>
      </c>
      <c r="B169" s="34">
        <f>IFERROR(__xludf.DUMMYFUNCTION("""COMPUTED_VALUE"""),1.0)</f>
        <v>1</v>
      </c>
      <c r="C169" s="36">
        <f>IFERROR(__xludf.DUMMYFUNCTION("""COMPUTED_VALUE"""),46142.0)</f>
        <v>46142</v>
      </c>
      <c r="D169" s="34" t="str">
        <f>IFERROR(__xludf.DUMMYFUNCTION("""COMPUTED_VALUE"""),"GA")</f>
        <v>GA</v>
      </c>
    </row>
    <row r="170">
      <c r="A170" s="34" t="str">
        <f>IFERROR(__xludf.DUMMYFUNCTION("""COMPUTED_VALUE"""),"GUNTING")</f>
        <v>GUNTING</v>
      </c>
      <c r="B170" s="34">
        <f>IFERROR(__xludf.DUMMYFUNCTION("""COMPUTED_VALUE"""),2.0)</f>
        <v>2</v>
      </c>
      <c r="C170" s="36">
        <f>IFERROR(__xludf.DUMMYFUNCTION("""COMPUTED_VALUE"""),46142.0)</f>
        <v>46142</v>
      </c>
      <c r="D170" s="34" t="str">
        <f>IFERROR(__xludf.DUMMYFUNCTION("""COMPUTED_VALUE"""),"AMANIAH")</f>
        <v>AMANIAH</v>
      </c>
    </row>
    <row r="171">
      <c r="A171" s="34" t="str">
        <f>IFERROR(__xludf.DUMMYFUNCTION("""COMPUTED_VALUE"""),"ISI CUTTER")</f>
        <v>ISI CUTTER</v>
      </c>
      <c r="B171" s="34">
        <f>IFERROR(__xludf.DUMMYFUNCTION("""COMPUTED_VALUE"""),1.0)</f>
        <v>1</v>
      </c>
      <c r="C171" s="36">
        <f>IFERROR(__xludf.DUMMYFUNCTION("""COMPUTED_VALUE"""),46142.0)</f>
        <v>46142</v>
      </c>
      <c r="D171" s="34" t="str">
        <f>IFERROR(__xludf.DUMMYFUNCTION("""COMPUTED_VALUE"""),"AMANIAH")</f>
        <v>AMANIAH</v>
      </c>
    </row>
    <row r="172">
      <c r="A172" s="34" t="str">
        <f>IFERROR(__xludf.DUMMYFUNCTION("""COMPUTED_VALUE"""),"LABEL NIIMBOT D11 UKURAN 12 X 22 MM ")</f>
        <v>LABEL NIIMBOT D11 UKURAN 12 X 22 MM </v>
      </c>
      <c r="B172" s="34">
        <f>IFERROR(__xludf.DUMMYFUNCTION("""COMPUTED_VALUE"""),2.0)</f>
        <v>2</v>
      </c>
      <c r="C172" s="36">
        <f>IFERROR(__xludf.DUMMYFUNCTION("""COMPUTED_VALUE"""),46142.0)</f>
        <v>46142</v>
      </c>
      <c r="D172" s="34" t="str">
        <f>IFERROR(__xludf.DUMMYFUNCTION("""COMPUTED_VALUE"""),"AMANIAH")</f>
        <v>AMANIAH</v>
      </c>
    </row>
    <row r="173">
      <c r="A173" s="34" t="str">
        <f>IFERROR(__xludf.DUMMYFUNCTION("""COMPUTED_VALUE"""),"BATU BATERAI A3")</f>
        <v>BATU BATERAI A3</v>
      </c>
      <c r="B173" s="34">
        <f>IFERROR(__xludf.DUMMYFUNCTION("""COMPUTED_VALUE"""),3.0)</f>
        <v>3</v>
      </c>
      <c r="C173" s="36">
        <f>IFERROR(__xludf.DUMMYFUNCTION("""COMPUTED_VALUE"""),46142.0)</f>
        <v>46142</v>
      </c>
      <c r="D173" s="34" t="str">
        <f>IFERROR(__xludf.DUMMYFUNCTION("""COMPUTED_VALUE"""),"AMANIAH")</f>
        <v>AMANIAH</v>
      </c>
    </row>
    <row r="174">
      <c r="A174" s="34" t="str">
        <f>IFERROR(__xludf.DUMMYFUNCTION("""COMPUTED_VALUE"""),"BATU BATERAI A3")</f>
        <v>BATU BATERAI A3</v>
      </c>
      <c r="B174" s="34">
        <f>IFERROR(__xludf.DUMMYFUNCTION("""COMPUTED_VALUE"""),4.0)</f>
        <v>4</v>
      </c>
      <c r="C174" s="36">
        <f>IFERROR(__xludf.DUMMYFUNCTION("""COMPUTED_VALUE"""),46142.0)</f>
        <v>46142</v>
      </c>
      <c r="D174" s="34" t="str">
        <f>IFERROR(__xludf.DUMMYFUNCTION("""COMPUTED_VALUE"""),"AMANIAH")</f>
        <v>AMANIAH</v>
      </c>
    </row>
    <row r="175">
      <c r="A175" s="34" t="str">
        <f>IFERROR(__xludf.DUMMYFUNCTION("""COMPUTED_VALUE"""),"TEH BOTOL")</f>
        <v>TEH BOTOL</v>
      </c>
      <c r="B175" s="34">
        <f>IFERROR(__xludf.DUMMYFUNCTION("""COMPUTED_VALUE"""),24.0)</f>
        <v>24</v>
      </c>
      <c r="C175" s="36">
        <f>IFERROR(__xludf.DUMMYFUNCTION("""COMPUTED_VALUE"""),46142.0)</f>
        <v>46142</v>
      </c>
      <c r="D175" s="34" t="str">
        <f>IFERROR(__xludf.DUMMYFUNCTION("""COMPUTED_VALUE"""),"GA")</f>
        <v>GA</v>
      </c>
    </row>
    <row r="176">
      <c r="A176" s="34" t="str">
        <f>IFERROR(__xludf.DUMMYFUNCTION("""COMPUTED_VALUE"""),"SUSU ")</f>
        <v>SUSU </v>
      </c>
      <c r="B176" s="34">
        <f>IFERROR(__xludf.DUMMYFUNCTION("""COMPUTED_VALUE"""),96.0)</f>
        <v>96</v>
      </c>
      <c r="C176" s="36">
        <f>IFERROR(__xludf.DUMMYFUNCTION("""COMPUTED_VALUE"""),46142.0)</f>
        <v>46142</v>
      </c>
      <c r="D176" s="34" t="str">
        <f>IFERROR(__xludf.DUMMYFUNCTION("""COMPUTED_VALUE"""),"GA")</f>
        <v>GA</v>
      </c>
    </row>
    <row r="177">
      <c r="A177" s="34" t="str">
        <f>IFERROR(__xludf.DUMMYFUNCTION("""COMPUTED_VALUE"""),"AIR MINERAL")</f>
        <v>AIR MINERAL</v>
      </c>
      <c r="B177" s="34">
        <f>IFERROR(__xludf.DUMMYFUNCTION("""COMPUTED_VALUE"""),24.0)</f>
        <v>24</v>
      </c>
      <c r="C177" s="36">
        <f>IFERROR(__xludf.DUMMYFUNCTION("""COMPUTED_VALUE"""),46142.0)</f>
        <v>46142</v>
      </c>
      <c r="D177" s="34" t="str">
        <f>IFERROR(__xludf.DUMMYFUNCTION("""COMPUTED_VALUE"""),"GA")</f>
        <v>GA</v>
      </c>
    </row>
    <row r="178">
      <c r="A178" s="34" t="str">
        <f>IFERROR(__xludf.DUMMYFUNCTION("""COMPUTED_VALUE"""),"MASKER")</f>
        <v>MASKER</v>
      </c>
      <c r="B178" s="34">
        <f>IFERROR(__xludf.DUMMYFUNCTION("""COMPUTED_VALUE"""),1.0)</f>
        <v>1</v>
      </c>
      <c r="C178" s="36">
        <f>IFERROR(__xludf.DUMMYFUNCTION("""COMPUTED_VALUE"""),46144.0)</f>
        <v>46144</v>
      </c>
      <c r="D178" s="34" t="str">
        <f>IFERROR(__xludf.DUMMYFUNCTION("""COMPUTED_VALUE"""),"BAGAS")</f>
        <v>BAGAS</v>
      </c>
    </row>
    <row r="179">
      <c r="A179" s="34" t="str">
        <f>IFERROR(__xludf.DUMMYFUNCTION("""COMPUTED_VALUE"""),"PLASTIK SAMPAH")</f>
        <v>PLASTIK SAMPAH</v>
      </c>
      <c r="B179" s="34">
        <f>IFERROR(__xludf.DUMMYFUNCTION("""COMPUTED_VALUE"""),1.0)</f>
        <v>1</v>
      </c>
      <c r="C179" s="36">
        <f>IFERROR(__xludf.DUMMYFUNCTION("""COMPUTED_VALUE"""),46144.0)</f>
        <v>46144</v>
      </c>
      <c r="D179" s="34" t="str">
        <f>IFERROR(__xludf.DUMMYFUNCTION("""COMPUTED_VALUE"""),"GA HERIYANTO")</f>
        <v>GA HERIYANTO</v>
      </c>
    </row>
    <row r="180">
      <c r="A180" s="34" t="str">
        <f>IFERROR(__xludf.DUMMYFUNCTION("""COMPUTED_VALUE"""),"GLADE ")</f>
        <v>GLADE </v>
      </c>
      <c r="B180" s="34">
        <f>IFERROR(__xludf.DUMMYFUNCTION("""COMPUTED_VALUE"""),1.0)</f>
        <v>1</v>
      </c>
      <c r="C180" s="36">
        <f>IFERROR(__xludf.DUMMYFUNCTION("""COMPUTED_VALUE"""),46144.0)</f>
        <v>46144</v>
      </c>
      <c r="D180" s="34" t="str">
        <f>IFERROR(__xludf.DUMMYFUNCTION("""COMPUTED_VALUE"""),"GA HERIYANTO")</f>
        <v>GA HERIYANTO</v>
      </c>
    </row>
    <row r="181">
      <c r="A181" s="34" t="str">
        <f>IFERROR(__xludf.DUMMYFUNCTION("""COMPUTED_VALUE"""),"MATERAI")</f>
        <v>MATERAI</v>
      </c>
      <c r="B181" s="34">
        <f>IFERROR(__xludf.DUMMYFUNCTION("""COMPUTED_VALUE"""),1.0)</f>
        <v>1</v>
      </c>
      <c r="C181" s="36">
        <f>IFERROR(__xludf.DUMMYFUNCTION("""COMPUTED_VALUE"""),46144.0)</f>
        <v>46144</v>
      </c>
      <c r="D181" s="34" t="str">
        <f>IFERROR(__xludf.DUMMYFUNCTION("""COMPUTED_VALUE"""),"GA IENDAH")</f>
        <v>GA IENDAH</v>
      </c>
    </row>
    <row r="182">
      <c r="A182" s="34" t="str">
        <f>IFERROR(__xludf.DUMMYFUNCTION("""COMPUTED_VALUE"""),"KERTAS HVS A4")</f>
        <v>KERTAS HVS A4</v>
      </c>
      <c r="B182" s="34">
        <f>IFERROR(__xludf.DUMMYFUNCTION("""COMPUTED_VALUE"""),1.0)</f>
        <v>1</v>
      </c>
      <c r="C182" s="36">
        <f>IFERROR(__xludf.DUMMYFUNCTION("""COMPUTED_VALUE"""),46144.0)</f>
        <v>46144</v>
      </c>
      <c r="D182" s="34" t="str">
        <f>IFERROR(__xludf.DUMMYFUNCTION("""COMPUTED_VALUE"""),"GA IENDAH")</f>
        <v>GA IENDAH</v>
      </c>
    </row>
    <row r="183">
      <c r="A183" s="34" t="str">
        <f>IFERROR(__xludf.DUMMYFUNCTION("""COMPUTED_VALUE"""),"SHEET PROTECTOR ")</f>
        <v>SHEET PROTECTOR </v>
      </c>
      <c r="B183" s="34">
        <f>IFERROR(__xludf.DUMMYFUNCTION("""COMPUTED_VALUE"""),1.0)</f>
        <v>1</v>
      </c>
      <c r="C183" s="36">
        <f>IFERROR(__xludf.DUMMYFUNCTION("""COMPUTED_VALUE"""),46144.0)</f>
        <v>46144</v>
      </c>
      <c r="D183" s="34" t="str">
        <f>IFERROR(__xludf.DUMMYFUNCTION("""COMPUTED_VALUE"""),"GA IENDAH")</f>
        <v>GA IENDAH</v>
      </c>
    </row>
    <row r="184">
      <c r="A184" s="34" t="str">
        <f>IFERROR(__xludf.DUMMYFUNCTION("""COMPUTED_VALUE"""),"LATEX SARUNG TANGAN ")</f>
        <v>LATEX SARUNG TANGAN </v>
      </c>
      <c r="B184" s="34">
        <f>IFERROR(__xludf.DUMMYFUNCTION("""COMPUTED_VALUE"""),1.0)</f>
        <v>1</v>
      </c>
      <c r="C184" s="36">
        <f>IFERROR(__xludf.DUMMYFUNCTION("""COMPUTED_VALUE"""),46144.0)</f>
        <v>46144</v>
      </c>
      <c r="D184" s="34" t="str">
        <f>IFERROR(__xludf.DUMMYFUNCTION("""COMPUTED_VALUE"""),"DANI")</f>
        <v>DANI</v>
      </c>
    </row>
    <row r="185">
      <c r="A185" s="34" t="str">
        <f>IFERROR(__xludf.DUMMYFUNCTION("""COMPUTED_VALUE"""),"MASKER")</f>
        <v>MASKER</v>
      </c>
      <c r="B185" s="34">
        <f>IFERROR(__xludf.DUMMYFUNCTION("""COMPUTED_VALUE"""),1.0)</f>
        <v>1</v>
      </c>
      <c r="C185" s="36">
        <f>IFERROR(__xludf.DUMMYFUNCTION("""COMPUTED_VALUE"""),46144.0)</f>
        <v>46144</v>
      </c>
      <c r="D185" s="34" t="str">
        <f>IFERROR(__xludf.DUMMYFUNCTION("""COMPUTED_VALUE"""),"DANI")</f>
        <v>DANI</v>
      </c>
    </row>
    <row r="186">
      <c r="A186" s="34" t="str">
        <f>IFERROR(__xludf.DUMMYFUNCTION("""COMPUTED_VALUE"""),"SALONPAS")</f>
        <v>SALONPAS</v>
      </c>
      <c r="B186" s="34">
        <f>IFERROR(__xludf.DUMMYFUNCTION("""COMPUTED_VALUE"""),1.0)</f>
        <v>1</v>
      </c>
      <c r="C186" s="36">
        <f>IFERROR(__xludf.DUMMYFUNCTION("""COMPUTED_VALUE"""),46144.0)</f>
        <v>46144</v>
      </c>
      <c r="D186" s="34" t="str">
        <f>IFERROR(__xludf.DUMMYFUNCTION("""COMPUTED_VALUE"""),"SADAH")</f>
        <v>SADAH</v>
      </c>
    </row>
    <row r="187">
      <c r="A187" s="34" t="str">
        <f>IFERROR(__xludf.DUMMYFUNCTION("""COMPUTED_VALUE"""),"SHUNTON P10 80GR - KAMPER ")</f>
        <v>SHUNTON P10 80GR - KAMPER </v>
      </c>
      <c r="B187" s="34">
        <f>IFERROR(__xludf.DUMMYFUNCTION("""COMPUTED_VALUE"""),5.0)</f>
        <v>5</v>
      </c>
      <c r="C187" s="36">
        <f>IFERROR(__xludf.DUMMYFUNCTION("""COMPUTED_VALUE"""),46144.0)</f>
        <v>46144</v>
      </c>
      <c r="D187" s="34" t="str">
        <f>IFERROR(__xludf.DUMMYFUNCTION("""COMPUTED_VALUE"""),"FAREL")</f>
        <v>FAREL</v>
      </c>
    </row>
    <row r="188">
      <c r="A188" s="34" t="str">
        <f>IFERROR(__xludf.DUMMYFUNCTION("""COMPUTED_VALUE"""),"LATEX SARUNG TANGAN ")</f>
        <v>LATEX SARUNG TANGAN </v>
      </c>
      <c r="B188" s="34">
        <f>IFERROR(__xludf.DUMMYFUNCTION("""COMPUTED_VALUE"""),1.0)</f>
        <v>1</v>
      </c>
      <c r="C188" s="36">
        <f>IFERROR(__xludf.DUMMYFUNCTION("""COMPUTED_VALUE"""),46144.0)</f>
        <v>46144</v>
      </c>
      <c r="D188" s="34" t="str">
        <f>IFERROR(__xludf.DUMMYFUNCTION("""COMPUTED_VALUE"""),"AINI")</f>
        <v>AINI</v>
      </c>
    </row>
    <row r="189">
      <c r="A189" s="34" t="str">
        <f>IFERROR(__xludf.DUMMYFUNCTION("""COMPUTED_VALUE"""),"MASKER")</f>
        <v>MASKER</v>
      </c>
      <c r="B189" s="34">
        <f>IFERROR(__xludf.DUMMYFUNCTION("""COMPUTED_VALUE"""),1.0)</f>
        <v>1</v>
      </c>
      <c r="C189" s="36">
        <f>IFERROR(__xludf.DUMMYFUNCTION("""COMPUTED_VALUE"""),46144.0)</f>
        <v>46144</v>
      </c>
      <c r="D189" s="34" t="str">
        <f>IFERROR(__xludf.DUMMYFUNCTION("""COMPUTED_VALUE"""),"AINI")</f>
        <v>AINI</v>
      </c>
    </row>
    <row r="190">
      <c r="A190" s="34" t="str">
        <f>IFERROR(__xludf.DUMMYFUNCTION("""COMPUTED_VALUE"""),"MASKER")</f>
        <v>MASKER</v>
      </c>
      <c r="B190" s="34">
        <f>IFERROR(__xludf.DUMMYFUNCTION("""COMPUTED_VALUE"""),1.0)</f>
        <v>1</v>
      </c>
      <c r="C190" s="36">
        <f>IFERROR(__xludf.DUMMYFUNCTION("""COMPUTED_VALUE"""),46144.0)</f>
        <v>46144</v>
      </c>
      <c r="D190" s="34" t="str">
        <f>IFERROR(__xludf.DUMMYFUNCTION("""COMPUTED_VALUE"""),"PRODUKSI")</f>
        <v>PRODUKSI</v>
      </c>
    </row>
    <row r="191">
      <c r="A191" s="34" t="str">
        <f>IFERROR(__xludf.DUMMYFUNCTION("""COMPUTED_VALUE"""),"LATEX SARUNG TANGAN ")</f>
        <v>LATEX SARUNG TANGAN </v>
      </c>
      <c r="B191" s="34">
        <f>IFERROR(__xludf.DUMMYFUNCTION("""COMPUTED_VALUE"""),1.0)</f>
        <v>1</v>
      </c>
      <c r="C191" s="36">
        <f>IFERROR(__xludf.DUMMYFUNCTION("""COMPUTED_VALUE"""),46144.0)</f>
        <v>46144</v>
      </c>
      <c r="D191" s="34" t="str">
        <f>IFERROR(__xludf.DUMMYFUNCTION("""COMPUTED_VALUE"""),"PRODUKSI")</f>
        <v>PRODUKSI</v>
      </c>
    </row>
    <row r="192">
      <c r="A192" s="34" t="str">
        <f>IFERROR(__xludf.DUMMYFUNCTION("""COMPUTED_VALUE"""),"HAIRNET KAIN")</f>
        <v>HAIRNET KAIN</v>
      </c>
      <c r="B192" s="34">
        <f>IFERROR(__xludf.DUMMYFUNCTION("""COMPUTED_VALUE"""),1.0)</f>
        <v>1</v>
      </c>
      <c r="C192" s="36">
        <f>IFERROR(__xludf.DUMMYFUNCTION("""COMPUTED_VALUE"""),46144.0)</f>
        <v>46144</v>
      </c>
      <c r="D192" s="34" t="str">
        <f>IFERROR(__xludf.DUMMYFUNCTION("""COMPUTED_VALUE"""),"PRODUKSI")</f>
        <v>PRODUKSI</v>
      </c>
    </row>
    <row r="193">
      <c r="A193" s="34" t="str">
        <f>IFERROR(__xludf.DUMMYFUNCTION("""COMPUTED_VALUE"""),"SABUN CUCI PIRING ")</f>
        <v>SABUN CUCI PIRING </v>
      </c>
      <c r="B193" s="34">
        <f>IFERROR(__xludf.DUMMYFUNCTION("""COMPUTED_VALUE"""),1.0)</f>
        <v>1</v>
      </c>
      <c r="C193" s="36">
        <f>IFERROR(__xludf.DUMMYFUNCTION("""COMPUTED_VALUE"""),46144.0)</f>
        <v>46144</v>
      </c>
      <c r="D193" s="34" t="str">
        <f>IFERROR(__xludf.DUMMYFUNCTION("""COMPUTED_VALUE"""),"FAREL")</f>
        <v>FAREL</v>
      </c>
    </row>
    <row r="194">
      <c r="A194" s="34" t="str">
        <f>IFERROR(__xludf.DUMMYFUNCTION("""COMPUTED_VALUE"""),"SABUN CUCI TANGAN")</f>
        <v>SABUN CUCI TANGAN</v>
      </c>
      <c r="B194" s="34">
        <f>IFERROR(__xludf.DUMMYFUNCTION("""COMPUTED_VALUE"""),1.0)</f>
        <v>1</v>
      </c>
      <c r="C194" s="36">
        <f>IFERROR(__xludf.DUMMYFUNCTION("""COMPUTED_VALUE"""),46144.0)</f>
        <v>46144</v>
      </c>
      <c r="D194" s="34" t="str">
        <f>IFERROR(__xludf.DUMMYFUNCTION("""COMPUTED_VALUE"""),"FAREL")</f>
        <v>FAREL</v>
      </c>
    </row>
    <row r="195">
      <c r="A195" s="34" t="str">
        <f>IFERROR(__xludf.DUMMYFUNCTION("""COMPUTED_VALUE"""),"MASKER")</f>
        <v>MASKER</v>
      </c>
      <c r="B195" s="34">
        <f>IFERROR(__xludf.DUMMYFUNCTION("""COMPUTED_VALUE"""),1.0)</f>
        <v>1</v>
      </c>
      <c r="C195" s="36">
        <f>IFERROR(__xludf.DUMMYFUNCTION("""COMPUTED_VALUE"""),46144.0)</f>
        <v>46144</v>
      </c>
      <c r="D195" s="34" t="str">
        <f>IFERROR(__xludf.DUMMYFUNCTION("""COMPUTED_VALUE"""),"FITA")</f>
        <v>FITA</v>
      </c>
    </row>
    <row r="196">
      <c r="A196" s="34" t="str">
        <f>IFERROR(__xludf.DUMMYFUNCTION("""COMPUTED_VALUE"""),"TISSUE")</f>
        <v>TISSUE</v>
      </c>
      <c r="B196" s="34">
        <f>IFERROR(__xludf.DUMMYFUNCTION("""COMPUTED_VALUE"""),1.0)</f>
        <v>1</v>
      </c>
      <c r="C196" s="36">
        <f>IFERROR(__xludf.DUMMYFUNCTION("""COMPUTED_VALUE"""),46144.0)</f>
        <v>46144</v>
      </c>
      <c r="D196" s="34" t="str">
        <f>IFERROR(__xludf.DUMMYFUNCTION("""COMPUTED_VALUE"""),"LIQUID")</f>
        <v>LIQUID</v>
      </c>
    </row>
    <row r="197">
      <c r="A197" s="34" t="str">
        <f>IFERROR(__xludf.DUMMYFUNCTION("""COMPUTED_VALUE"""),"MASKER")</f>
        <v>MASKER</v>
      </c>
      <c r="B197" s="34">
        <f>IFERROR(__xludf.DUMMYFUNCTION("""COMPUTED_VALUE"""),1.0)</f>
        <v>1</v>
      </c>
      <c r="C197" s="36">
        <f>IFERROR(__xludf.DUMMYFUNCTION("""COMPUTED_VALUE"""),46144.0)</f>
        <v>46144</v>
      </c>
      <c r="D197" s="34" t="str">
        <f>IFERROR(__xludf.DUMMYFUNCTION("""COMPUTED_VALUE"""),"LIQUID")</f>
        <v>LIQUID</v>
      </c>
    </row>
    <row r="198">
      <c r="A198" s="34" t="str">
        <f>IFERROR(__xludf.DUMMYFUNCTION("""COMPUTED_VALUE"""),"LATEX SARUNG TANGAN ")</f>
        <v>LATEX SARUNG TANGAN </v>
      </c>
      <c r="B198" s="34">
        <f>IFERROR(__xludf.DUMMYFUNCTION("""COMPUTED_VALUE"""),1.0)</f>
        <v>1</v>
      </c>
      <c r="C198" s="36">
        <f>IFERROR(__xludf.DUMMYFUNCTION("""COMPUTED_VALUE"""),46144.0)</f>
        <v>46144</v>
      </c>
      <c r="D198" s="34" t="str">
        <f>IFERROR(__xludf.DUMMYFUNCTION("""COMPUTED_VALUE"""),"PRODUKSI")</f>
        <v>PRODUKSI</v>
      </c>
    </row>
    <row r="199">
      <c r="A199" s="34" t="str">
        <f>IFERROR(__xludf.DUMMYFUNCTION("""COMPUTED_VALUE"""),"HAIRNET KAIN")</f>
        <v>HAIRNET KAIN</v>
      </c>
      <c r="B199" s="34">
        <f>IFERROR(__xludf.DUMMYFUNCTION("""COMPUTED_VALUE"""),1.0)</f>
        <v>1</v>
      </c>
      <c r="C199" s="36">
        <f>IFERROR(__xludf.DUMMYFUNCTION("""COMPUTED_VALUE"""),46144.0)</f>
        <v>46144</v>
      </c>
      <c r="D199" s="34" t="str">
        <f>IFERROR(__xludf.DUMMYFUNCTION("""COMPUTED_VALUE"""),"PRODUKSI")</f>
        <v>PRODUKSI</v>
      </c>
    </row>
    <row r="200">
      <c r="A200" s="34" t="str">
        <f>IFERROR(__xludf.DUMMYFUNCTION("""COMPUTED_VALUE"""),"SHAMPO MOBIL")</f>
        <v>SHAMPO MOBIL</v>
      </c>
      <c r="B200" s="34">
        <f>IFERROR(__xludf.DUMMYFUNCTION("""COMPUTED_VALUE"""),1.0)</f>
        <v>1</v>
      </c>
      <c r="C200" s="36">
        <f>IFERROR(__xludf.DUMMYFUNCTION("""COMPUTED_VALUE"""),46144.0)</f>
        <v>46144</v>
      </c>
      <c r="D200" s="34" t="str">
        <f>IFERROR(__xludf.DUMMYFUNCTION("""COMPUTED_VALUE"""),"ERWIN")</f>
        <v>ERWIN</v>
      </c>
    </row>
    <row r="201">
      <c r="A201" s="34" t="str">
        <f>IFERROR(__xludf.DUMMYFUNCTION("""COMPUTED_VALUE"""),"HAIRNET KAIN")</f>
        <v>HAIRNET KAIN</v>
      </c>
      <c r="B201" s="34">
        <f>IFERROR(__xludf.DUMMYFUNCTION("""COMPUTED_VALUE"""),1.0)</f>
        <v>1</v>
      </c>
      <c r="C201" s="36">
        <f>IFERROR(__xludf.DUMMYFUNCTION("""COMPUTED_VALUE"""),46146.0)</f>
        <v>46146</v>
      </c>
      <c r="D201" s="34" t="str">
        <f>IFERROR(__xludf.DUMMYFUNCTION("""COMPUTED_VALUE"""),"ANISA")</f>
        <v>ANISA</v>
      </c>
    </row>
    <row r="202">
      <c r="A202" s="34" t="str">
        <f>IFERROR(__xludf.DUMMYFUNCTION("""COMPUTED_VALUE"""),"MASKER")</f>
        <v>MASKER</v>
      </c>
      <c r="B202" s="34">
        <f>IFERROR(__xludf.DUMMYFUNCTION("""COMPUTED_VALUE"""),1.0)</f>
        <v>1</v>
      </c>
      <c r="C202" s="36">
        <f>IFERROR(__xludf.DUMMYFUNCTION("""COMPUTED_VALUE"""),46146.0)</f>
        <v>46146</v>
      </c>
      <c r="D202" s="34" t="str">
        <f>IFERROR(__xludf.DUMMYFUNCTION("""COMPUTED_VALUE"""),"ANISA")</f>
        <v>ANISA</v>
      </c>
    </row>
    <row r="203">
      <c r="A203" s="34" t="str">
        <f>IFERROR(__xludf.DUMMYFUNCTION("""COMPUTED_VALUE"""),"HAIRNET KAIN")</f>
        <v>HAIRNET KAIN</v>
      </c>
      <c r="B203" s="34">
        <f>IFERROR(__xludf.DUMMYFUNCTION("""COMPUTED_VALUE"""),1.0)</f>
        <v>1</v>
      </c>
      <c r="C203" s="36">
        <f>IFERROR(__xludf.DUMMYFUNCTION("""COMPUTED_VALUE"""),46146.0)</f>
        <v>46146</v>
      </c>
      <c r="D203" s="34" t="str">
        <f>IFERROR(__xludf.DUMMYFUNCTION("""COMPUTED_VALUE"""),"ANISA")</f>
        <v>ANISA</v>
      </c>
    </row>
    <row r="204">
      <c r="A204" s="34" t="str">
        <f>IFERROR(__xludf.DUMMYFUNCTION("""COMPUTED_VALUE"""),"MASKER")</f>
        <v>MASKER</v>
      </c>
      <c r="B204" s="34">
        <f>IFERROR(__xludf.DUMMYFUNCTION("""COMPUTED_VALUE"""),1.0)</f>
        <v>1</v>
      </c>
      <c r="C204" s="36">
        <f>IFERROR(__xludf.DUMMYFUNCTION("""COMPUTED_VALUE"""),46146.0)</f>
        <v>46146</v>
      </c>
      <c r="D204" s="34" t="str">
        <f>IFERROR(__xludf.DUMMYFUNCTION("""COMPUTED_VALUE"""),"ANISA")</f>
        <v>ANISA</v>
      </c>
    </row>
    <row r="205">
      <c r="A205" s="34" t="str">
        <f>IFERROR(__xludf.DUMMYFUNCTION("""COMPUTED_VALUE"""),"HAIRNET KAIN")</f>
        <v>HAIRNET KAIN</v>
      </c>
      <c r="B205" s="34">
        <f>IFERROR(__xludf.DUMMYFUNCTION("""COMPUTED_VALUE"""),1.0)</f>
        <v>1</v>
      </c>
      <c r="C205" s="36">
        <f>IFERROR(__xludf.DUMMYFUNCTION("""COMPUTED_VALUE"""),46146.0)</f>
        <v>46146</v>
      </c>
      <c r="D205" s="34" t="str">
        <f>IFERROR(__xludf.DUMMYFUNCTION("""COMPUTED_VALUE"""),"ANISA")</f>
        <v>ANISA</v>
      </c>
    </row>
    <row r="206">
      <c r="A206" s="34" t="str">
        <f>IFERROR(__xludf.DUMMYFUNCTION("""COMPUTED_VALUE"""),"HANDSPLAST WARNA WARNI")</f>
        <v>HANDSPLAST WARNA WARNI</v>
      </c>
      <c r="B206" s="34">
        <f>IFERROR(__xludf.DUMMYFUNCTION("""COMPUTED_VALUE"""),1.0)</f>
        <v>1</v>
      </c>
      <c r="C206" s="36">
        <f>IFERROR(__xludf.DUMMYFUNCTION("""COMPUTED_VALUE"""),46146.0)</f>
        <v>46146</v>
      </c>
      <c r="D206" s="34" t="str">
        <f>IFERROR(__xludf.DUMMYFUNCTION("""COMPUTED_VALUE"""),"ANISA")</f>
        <v>ANISA</v>
      </c>
    </row>
    <row r="207">
      <c r="A207" s="34" t="str">
        <f>IFERROR(__xludf.DUMMYFUNCTION("""COMPUTED_VALUE"""),"ISI STAPLES KECIL")</f>
        <v>ISI STAPLES KECIL</v>
      </c>
      <c r="B207" s="34">
        <f>IFERROR(__xludf.DUMMYFUNCTION("""COMPUTED_VALUE"""),1.0)</f>
        <v>1</v>
      </c>
      <c r="C207" s="36">
        <f>IFERROR(__xludf.DUMMYFUNCTION("""COMPUTED_VALUE"""),46146.0)</f>
        <v>46146</v>
      </c>
      <c r="D207" s="34" t="str">
        <f>IFERROR(__xludf.DUMMYFUNCTION("""COMPUTED_VALUE"""),"ANISA")</f>
        <v>ANISA</v>
      </c>
    </row>
    <row r="208">
      <c r="A208" s="34" t="str">
        <f>IFERROR(__xludf.DUMMYFUNCTION("""COMPUTED_VALUE"""),"MASKER")</f>
        <v>MASKER</v>
      </c>
      <c r="B208" s="34">
        <f>IFERROR(__xludf.DUMMYFUNCTION("""COMPUTED_VALUE"""),1.0)</f>
        <v>1</v>
      </c>
      <c r="C208" s="36">
        <f>IFERROR(__xludf.DUMMYFUNCTION("""COMPUTED_VALUE"""),46146.0)</f>
        <v>46146</v>
      </c>
      <c r="D208" s="34" t="str">
        <f>IFERROR(__xludf.DUMMYFUNCTION("""COMPUTED_VALUE"""),"FARHAN")</f>
        <v>FARHAN</v>
      </c>
    </row>
    <row r="209">
      <c r="A209" s="34" t="str">
        <f>IFERROR(__xludf.DUMMYFUNCTION("""COMPUTED_VALUE"""),"LATEX SARUNG TANGAN ")</f>
        <v>LATEX SARUNG TANGAN </v>
      </c>
      <c r="B209" s="34">
        <f>IFERROR(__xludf.DUMMYFUNCTION("""COMPUTED_VALUE"""),1.0)</f>
        <v>1</v>
      </c>
      <c r="C209" s="36">
        <f>IFERROR(__xludf.DUMMYFUNCTION("""COMPUTED_VALUE"""),46146.0)</f>
        <v>46146</v>
      </c>
      <c r="D209" s="34" t="str">
        <f>IFERROR(__xludf.DUMMYFUNCTION("""COMPUTED_VALUE"""),"FARHAN")</f>
        <v>FARHAN</v>
      </c>
    </row>
    <row r="210">
      <c r="A210" s="34" t="str">
        <f>IFERROR(__xludf.DUMMYFUNCTION("""COMPUTED_VALUE"""),"TISSUE")</f>
        <v>TISSUE</v>
      </c>
      <c r="B210" s="34">
        <f>IFERROR(__xludf.DUMMYFUNCTION("""COMPUTED_VALUE"""),1.0)</f>
        <v>1</v>
      </c>
      <c r="C210" s="36">
        <f>IFERROR(__xludf.DUMMYFUNCTION("""COMPUTED_VALUE"""),46146.0)</f>
        <v>46146</v>
      </c>
      <c r="D210" s="34" t="str">
        <f>IFERROR(__xludf.DUMMYFUNCTION("""COMPUTED_VALUE"""),"FARHAN")</f>
        <v>FARHAN</v>
      </c>
    </row>
    <row r="211">
      <c r="A211" s="34" t="str">
        <f>IFERROR(__xludf.DUMMYFUNCTION("""COMPUTED_VALUE"""),"TISSUE")</f>
        <v>TISSUE</v>
      </c>
      <c r="B211" s="34">
        <f>IFERROR(__xludf.DUMMYFUNCTION("""COMPUTED_VALUE"""),2.0)</f>
        <v>2</v>
      </c>
      <c r="C211" s="36">
        <f>IFERROR(__xludf.DUMMYFUNCTION("""COMPUTED_VALUE"""),46146.0)</f>
        <v>46146</v>
      </c>
      <c r="D211" s="34" t="str">
        <f>IFERROR(__xludf.DUMMYFUNCTION("""COMPUTED_VALUE"""),"GA RIYANTI")</f>
        <v>GA RIYANTI</v>
      </c>
    </row>
    <row r="212">
      <c r="A212" s="34" t="str">
        <f>IFERROR(__xludf.DUMMYFUNCTION("""COMPUTED_VALUE"""),"MASKER")</f>
        <v>MASKER</v>
      </c>
      <c r="B212" s="34">
        <f>IFERROR(__xludf.DUMMYFUNCTION("""COMPUTED_VALUE"""),1.0)</f>
        <v>1</v>
      </c>
      <c r="C212" s="36">
        <f>IFERROR(__xludf.DUMMYFUNCTION("""COMPUTED_VALUE"""),46146.0)</f>
        <v>46146</v>
      </c>
      <c r="D212" s="34" t="str">
        <f>IFERROR(__xludf.DUMMYFUNCTION("""COMPUTED_VALUE"""),"GA RIYANTI")</f>
        <v>GA RIYANTI</v>
      </c>
    </row>
    <row r="213">
      <c r="A213" s="34" t="str">
        <f>IFERROR(__xludf.DUMMYFUNCTION("""COMPUTED_VALUE"""),"LATEX SARUNG TANGAN ")</f>
        <v>LATEX SARUNG TANGAN </v>
      </c>
      <c r="B213" s="34">
        <f>IFERROR(__xludf.DUMMYFUNCTION("""COMPUTED_VALUE"""),1.0)</f>
        <v>1</v>
      </c>
      <c r="C213" s="36">
        <f>IFERROR(__xludf.DUMMYFUNCTION("""COMPUTED_VALUE"""),46146.0)</f>
        <v>46146</v>
      </c>
      <c r="D213" s="34" t="str">
        <f>IFERROR(__xludf.DUMMYFUNCTION("""COMPUTED_VALUE"""),"GA IENDAH")</f>
        <v>GA IENDAH</v>
      </c>
    </row>
    <row r="214">
      <c r="A214" s="34" t="str">
        <f>IFERROR(__xludf.DUMMYFUNCTION("""COMPUTED_VALUE"""),"TISSUE")</f>
        <v>TISSUE</v>
      </c>
      <c r="B214" s="34">
        <f>IFERROR(__xludf.DUMMYFUNCTION("""COMPUTED_VALUE"""),1.0)</f>
        <v>1</v>
      </c>
      <c r="C214" s="36">
        <f>IFERROR(__xludf.DUMMYFUNCTION("""COMPUTED_VALUE"""),46146.0)</f>
        <v>46146</v>
      </c>
      <c r="D214" s="34" t="str">
        <f>IFERROR(__xludf.DUMMYFUNCTION("""COMPUTED_VALUE"""),"HILAL")</f>
        <v>HILAL</v>
      </c>
    </row>
    <row r="215">
      <c r="A215" s="34" t="str">
        <f>IFERROR(__xludf.DUMMYFUNCTION("""COMPUTED_VALUE"""),"PLASTIK SAMPAH")</f>
        <v>PLASTIK SAMPAH</v>
      </c>
      <c r="B215" s="34">
        <f>IFERROR(__xludf.DUMMYFUNCTION("""COMPUTED_VALUE"""),1.0)</f>
        <v>1</v>
      </c>
      <c r="C215" s="36">
        <f>IFERROR(__xludf.DUMMYFUNCTION("""COMPUTED_VALUE"""),46146.0)</f>
        <v>46146</v>
      </c>
      <c r="D215" s="34" t="str">
        <f>IFERROR(__xludf.DUMMYFUNCTION("""COMPUTED_VALUE"""),"WH")</f>
        <v>WH</v>
      </c>
    </row>
    <row r="216">
      <c r="A216" s="34" t="str">
        <f>IFERROR(__xludf.DUMMYFUNCTION("""COMPUTED_VALUE"""),"LATEX SARUNG TANGAN ")</f>
        <v>LATEX SARUNG TANGAN </v>
      </c>
      <c r="B216" s="34">
        <f>IFERROR(__xludf.DUMMYFUNCTION("""COMPUTED_VALUE"""),1.0)</f>
        <v>1</v>
      </c>
      <c r="C216" s="36">
        <f>IFERROR(__xludf.DUMMYFUNCTION("""COMPUTED_VALUE"""),46146.0)</f>
        <v>46146</v>
      </c>
      <c r="D216" s="34" t="str">
        <f>IFERROR(__xludf.DUMMYFUNCTION("""COMPUTED_VALUE"""),"WH")</f>
        <v>WH</v>
      </c>
    </row>
    <row r="217">
      <c r="A217" s="34" t="str">
        <f>IFERROR(__xludf.DUMMYFUNCTION("""COMPUTED_VALUE"""),"TISSUE")</f>
        <v>TISSUE</v>
      </c>
      <c r="B217" s="34">
        <f>IFERROR(__xludf.DUMMYFUNCTION("""COMPUTED_VALUE"""),1.0)</f>
        <v>1</v>
      </c>
      <c r="C217" s="36">
        <f>IFERROR(__xludf.DUMMYFUNCTION("""COMPUTED_VALUE"""),46146.0)</f>
        <v>46146</v>
      </c>
      <c r="D217" s="34" t="str">
        <f>IFERROR(__xludf.DUMMYFUNCTION("""COMPUTED_VALUE"""),"WH")</f>
        <v>WH</v>
      </c>
    </row>
    <row r="218">
      <c r="A218" s="34" t="str">
        <f>IFERROR(__xludf.DUMMYFUNCTION("""COMPUTED_VALUE"""),"MASKER")</f>
        <v>MASKER</v>
      </c>
      <c r="B218" s="34">
        <f>IFERROR(__xludf.DUMMYFUNCTION("""COMPUTED_VALUE"""),1.0)</f>
        <v>1</v>
      </c>
      <c r="C218" s="36">
        <f>IFERROR(__xludf.DUMMYFUNCTION("""COMPUTED_VALUE"""),46146.0)</f>
        <v>46146</v>
      </c>
      <c r="D218" s="34" t="str">
        <f>IFERROR(__xludf.DUMMYFUNCTION("""COMPUTED_VALUE"""),"WH")</f>
        <v>WH</v>
      </c>
    </row>
    <row r="219">
      <c r="A219" s="34" t="str">
        <f>IFERROR(__xludf.DUMMYFUNCTION("""COMPUTED_VALUE"""),"HAIRNET DISPOSABLE")</f>
        <v>HAIRNET DISPOSABLE</v>
      </c>
      <c r="B219" s="34">
        <f>IFERROR(__xludf.DUMMYFUNCTION("""COMPUTED_VALUE"""),4.0)</f>
        <v>4</v>
      </c>
      <c r="C219" s="36">
        <f>IFERROR(__xludf.DUMMYFUNCTION("""COMPUTED_VALUE"""),46146.0)</f>
        <v>46146</v>
      </c>
      <c r="D219" s="34" t="str">
        <f>IFERROR(__xludf.DUMMYFUNCTION("""COMPUTED_VALUE"""),"TIM CALVIN")</f>
        <v>TIM CALVIN</v>
      </c>
    </row>
    <row r="220">
      <c r="A220" s="34" t="str">
        <f>IFERROR(__xludf.DUMMYFUNCTION("""COMPUTED_VALUE"""),"MASKER")</f>
        <v>MASKER</v>
      </c>
      <c r="B220" s="34">
        <f>IFERROR(__xludf.DUMMYFUNCTION("""COMPUTED_VALUE"""),1.0)</f>
        <v>1</v>
      </c>
      <c r="C220" s="36">
        <f>IFERROR(__xludf.DUMMYFUNCTION("""COMPUTED_VALUE"""),46146.0)</f>
        <v>46146</v>
      </c>
      <c r="D220" s="34" t="str">
        <f>IFERROR(__xludf.DUMMYFUNCTION("""COMPUTED_VALUE"""),"DANI")</f>
        <v>DANI</v>
      </c>
    </row>
    <row r="221">
      <c r="A221" s="34" t="str">
        <f>IFERROR(__xludf.DUMMYFUNCTION("""COMPUTED_VALUE"""),"MASKER")</f>
        <v>MASKER</v>
      </c>
      <c r="B221" s="34">
        <f>IFERROR(__xludf.DUMMYFUNCTION("""COMPUTED_VALUE"""),2.0)</f>
        <v>2</v>
      </c>
      <c r="C221" s="36">
        <f>IFERROR(__xludf.DUMMYFUNCTION("""COMPUTED_VALUE"""),46146.0)</f>
        <v>46146</v>
      </c>
      <c r="D221" s="34" t="str">
        <f>IFERROR(__xludf.DUMMYFUNCTION("""COMPUTED_VALUE"""),"ILYAS")</f>
        <v>ILYAS</v>
      </c>
    </row>
    <row r="222">
      <c r="A222" s="34" t="str">
        <f>IFERROR(__xludf.DUMMYFUNCTION("""COMPUTED_VALUE"""),"LATEX SARUNG TANGAN ")</f>
        <v>LATEX SARUNG TANGAN </v>
      </c>
      <c r="B222" s="34">
        <f>IFERROR(__xludf.DUMMYFUNCTION("""COMPUTED_VALUE"""),2.0)</f>
        <v>2</v>
      </c>
      <c r="C222" s="36">
        <f>IFERROR(__xludf.DUMMYFUNCTION("""COMPUTED_VALUE"""),46146.0)</f>
        <v>46146</v>
      </c>
      <c r="D222" s="34" t="str">
        <f>IFERROR(__xludf.DUMMYFUNCTION("""COMPUTED_VALUE"""),"ILYAS")</f>
        <v>ILYAS</v>
      </c>
    </row>
    <row r="223">
      <c r="A223" s="34" t="str">
        <f>IFERROR(__xludf.DUMMYFUNCTION("""COMPUTED_VALUE"""),"MASKER")</f>
        <v>MASKER</v>
      </c>
      <c r="B223" s="34">
        <f>IFERROR(__xludf.DUMMYFUNCTION("""COMPUTED_VALUE"""),1.0)</f>
        <v>1</v>
      </c>
      <c r="C223" s="36">
        <f>IFERROR(__xludf.DUMMYFUNCTION("""COMPUTED_VALUE"""),46147.0)</f>
        <v>46147</v>
      </c>
      <c r="D223" s="34" t="str">
        <f>IFERROR(__xludf.DUMMYFUNCTION("""COMPUTED_VALUE"""),"ROY")</f>
        <v>ROY</v>
      </c>
    </row>
    <row r="224">
      <c r="A224" s="34" t="str">
        <f>IFERROR(__xludf.DUMMYFUNCTION("""COMPUTED_VALUE"""),"LATEX SARUNG TANGAN ")</f>
        <v>LATEX SARUNG TANGAN </v>
      </c>
      <c r="B224" s="34">
        <f>IFERROR(__xludf.DUMMYFUNCTION("""COMPUTED_VALUE"""),1.0)</f>
        <v>1</v>
      </c>
      <c r="C224" s="36">
        <f>IFERROR(__xludf.DUMMYFUNCTION("""COMPUTED_VALUE"""),46147.0)</f>
        <v>46147</v>
      </c>
      <c r="D224" s="34" t="str">
        <f>IFERROR(__xludf.DUMMYFUNCTION("""COMPUTED_VALUE"""),"ROY")</f>
        <v>ROY</v>
      </c>
    </row>
    <row r="225">
      <c r="A225" s="34" t="str">
        <f>IFERROR(__xludf.DUMMYFUNCTION("""COMPUTED_VALUE"""),"LAMPU HANNOCHS 50W")</f>
        <v>LAMPU HANNOCHS 50W</v>
      </c>
      <c r="B225" s="34">
        <f>IFERROR(__xludf.DUMMYFUNCTION("""COMPUTED_VALUE"""),2.0)</f>
        <v>2</v>
      </c>
      <c r="C225" s="36">
        <f>IFERROR(__xludf.DUMMYFUNCTION("""COMPUTED_VALUE"""),46147.0)</f>
        <v>46147</v>
      </c>
      <c r="D225" s="34" t="str">
        <f>IFERROR(__xludf.DUMMYFUNCTION("""COMPUTED_VALUE"""),"ROY")</f>
        <v>ROY</v>
      </c>
    </row>
    <row r="226">
      <c r="A226" s="34" t="str">
        <f>IFERROR(__xludf.DUMMYFUNCTION("""COMPUTED_VALUE"""),"SUSU ")</f>
        <v>SUSU </v>
      </c>
      <c r="B226" s="34">
        <f>IFERROR(__xludf.DUMMYFUNCTION("""COMPUTED_VALUE"""),48.0)</f>
        <v>48</v>
      </c>
      <c r="C226" s="36">
        <f>IFERROR(__xludf.DUMMYFUNCTION("""COMPUTED_VALUE"""),46147.0)</f>
        <v>46147</v>
      </c>
      <c r="D226" s="34" t="str">
        <f>IFERROR(__xludf.DUMMYFUNCTION("""COMPUTED_VALUE"""),"GA HERIYANTO")</f>
        <v>GA HERIYANTO</v>
      </c>
    </row>
    <row r="227">
      <c r="A227" s="34" t="str">
        <f>IFERROR(__xludf.DUMMYFUNCTION("""COMPUTED_VALUE"""),"MASKER")</f>
        <v>MASKER</v>
      </c>
      <c r="B227" s="34">
        <f>IFERROR(__xludf.DUMMYFUNCTION("""COMPUTED_VALUE"""),1.0)</f>
        <v>1</v>
      </c>
      <c r="C227" s="36">
        <f>IFERROR(__xludf.DUMMYFUNCTION("""COMPUTED_VALUE"""),46147.0)</f>
        <v>46147</v>
      </c>
      <c r="D227" s="34" t="str">
        <f>IFERROR(__xludf.DUMMYFUNCTION("""COMPUTED_VALUE"""),"TIKA")</f>
        <v>TIKA</v>
      </c>
    </row>
    <row r="228">
      <c r="A228" s="34" t="str">
        <f>IFERROR(__xludf.DUMMYFUNCTION("""COMPUTED_VALUE"""),"ISI CUTTER")</f>
        <v>ISI CUTTER</v>
      </c>
      <c r="B228" s="34">
        <f>IFERROR(__xludf.DUMMYFUNCTION("""COMPUTED_VALUE"""),1.0)</f>
        <v>1</v>
      </c>
      <c r="C228" s="36">
        <f>IFERROR(__xludf.DUMMYFUNCTION("""COMPUTED_VALUE"""),46147.0)</f>
        <v>46147</v>
      </c>
      <c r="D228" s="34" t="str">
        <f>IFERROR(__xludf.DUMMYFUNCTION("""COMPUTED_VALUE"""),"AMANIAH")</f>
        <v>AMANIAH</v>
      </c>
    </row>
    <row r="229">
      <c r="A229" s="34" t="str">
        <f>IFERROR(__xludf.DUMMYFUNCTION("""COMPUTED_VALUE"""),"LABEL NIIMBOT D11 UKURAN 12 X 22 MM ")</f>
        <v>LABEL NIIMBOT D11 UKURAN 12 X 22 MM </v>
      </c>
      <c r="B229" s="34">
        <f>IFERROR(__xludf.DUMMYFUNCTION("""COMPUTED_VALUE"""),1.0)</f>
        <v>1</v>
      </c>
      <c r="C229" s="36">
        <f>IFERROR(__xludf.DUMMYFUNCTION("""COMPUTED_VALUE"""),46147.0)</f>
        <v>46147</v>
      </c>
      <c r="D229" s="34" t="str">
        <f>IFERROR(__xludf.DUMMYFUNCTION("""COMPUTED_VALUE"""),"AMANIAH")</f>
        <v>AMANIAH</v>
      </c>
    </row>
    <row r="230">
      <c r="A230" s="34" t="str">
        <f>IFERROR(__xludf.DUMMYFUNCTION("""COMPUTED_VALUE"""),"GUNTING")</f>
        <v>GUNTING</v>
      </c>
      <c r="B230" s="34">
        <f>IFERROR(__xludf.DUMMYFUNCTION("""COMPUTED_VALUE"""),2.0)</f>
        <v>2</v>
      </c>
      <c r="C230" s="36">
        <f>IFERROR(__xludf.DUMMYFUNCTION("""COMPUTED_VALUE"""),46147.0)</f>
        <v>46147</v>
      </c>
      <c r="D230" s="34" t="str">
        <f>IFERROR(__xludf.DUMMYFUNCTION("""COMPUTED_VALUE"""),"AMANIAH")</f>
        <v>AMANIAH</v>
      </c>
    </row>
    <row r="231">
      <c r="A231" s="34" t="str">
        <f>IFERROR(__xludf.DUMMYFUNCTION("""COMPUTED_VALUE"""),"PLASTIK SAMPAH")</f>
        <v>PLASTIK SAMPAH</v>
      </c>
      <c r="B231" s="34">
        <f>IFERROR(__xludf.DUMMYFUNCTION("""COMPUTED_VALUE"""),1.0)</f>
        <v>1</v>
      </c>
      <c r="C231" s="36">
        <f>IFERROR(__xludf.DUMMYFUNCTION("""COMPUTED_VALUE"""),46147.0)</f>
        <v>46147</v>
      </c>
      <c r="D231" s="34" t="str">
        <f>IFERROR(__xludf.DUMMYFUNCTION("""COMPUTED_VALUE"""),"FAREL")</f>
        <v>FAREL</v>
      </c>
    </row>
    <row r="232">
      <c r="A232" s="34" t="str">
        <f>IFERROR(__xludf.DUMMYFUNCTION("""COMPUTED_VALUE"""),"LATEX SARUNG TANGAN ")</f>
        <v>LATEX SARUNG TANGAN </v>
      </c>
      <c r="B232" s="34">
        <f>IFERROR(__xludf.DUMMYFUNCTION("""COMPUTED_VALUE"""),1.0)</f>
        <v>1</v>
      </c>
      <c r="C232" s="36">
        <f>IFERROR(__xludf.DUMMYFUNCTION("""COMPUTED_VALUE"""),46147.0)</f>
        <v>46147</v>
      </c>
      <c r="D232" s="34" t="str">
        <f>IFERROR(__xludf.DUMMYFUNCTION("""COMPUTED_VALUE"""),"TIKA")</f>
        <v>TIKA</v>
      </c>
    </row>
    <row r="233">
      <c r="A233" s="34" t="str">
        <f>IFERROR(__xludf.DUMMYFUNCTION("""COMPUTED_VALUE"""),"MASKER")</f>
        <v>MASKER</v>
      </c>
      <c r="B233" s="34">
        <f>IFERROR(__xludf.DUMMYFUNCTION("""COMPUTED_VALUE"""),1.0)</f>
        <v>1</v>
      </c>
      <c r="C233" s="36">
        <f>IFERROR(__xludf.DUMMYFUNCTION("""COMPUTED_VALUE"""),46147.0)</f>
        <v>46147</v>
      </c>
      <c r="D233" s="34" t="str">
        <f>IFERROR(__xludf.DUMMYFUNCTION("""COMPUTED_VALUE"""),"TIKA")</f>
        <v>TIKA</v>
      </c>
    </row>
    <row r="234">
      <c r="A234" s="34" t="str">
        <f>IFERROR(__xludf.DUMMYFUNCTION("""COMPUTED_VALUE"""),"MASKER")</f>
        <v>MASKER</v>
      </c>
      <c r="B234" s="34">
        <f>IFERROR(__xludf.DUMMYFUNCTION("""COMPUTED_VALUE"""),1.0)</f>
        <v>1</v>
      </c>
      <c r="C234" s="36">
        <f>IFERROR(__xludf.DUMMYFUNCTION("""COMPUTED_VALUE"""),46147.0)</f>
        <v>46147</v>
      </c>
      <c r="D234" s="34" t="str">
        <f>IFERROR(__xludf.DUMMYFUNCTION("""COMPUTED_VALUE"""),"TIKA")</f>
        <v>TIKA</v>
      </c>
    </row>
    <row r="235">
      <c r="A235" s="34" t="str">
        <f>IFERROR(__xludf.DUMMYFUNCTION("""COMPUTED_VALUE"""),"LATEX SARUNG TANGAN ")</f>
        <v>LATEX SARUNG TANGAN </v>
      </c>
      <c r="B235" s="34">
        <f>IFERROR(__xludf.DUMMYFUNCTION("""COMPUTED_VALUE"""),1.0)</f>
        <v>1</v>
      </c>
      <c r="C235" s="36">
        <f>IFERROR(__xludf.DUMMYFUNCTION("""COMPUTED_VALUE"""),46147.0)</f>
        <v>46147</v>
      </c>
      <c r="D235" s="34" t="str">
        <f>IFERROR(__xludf.DUMMYFUNCTION("""COMPUTED_VALUE"""),"TIKA")</f>
        <v>TIKA</v>
      </c>
    </row>
    <row r="236">
      <c r="A236" s="34" t="str">
        <f>IFERROR(__xludf.DUMMYFUNCTION("""COMPUTED_VALUE"""),"KUNCI SLOT KAMAR MANDI")</f>
        <v>KUNCI SLOT KAMAR MANDI</v>
      </c>
      <c r="B236" s="34">
        <f>IFERROR(__xludf.DUMMYFUNCTION("""COMPUTED_VALUE"""),1.0)</f>
        <v>1</v>
      </c>
      <c r="C236" s="36">
        <f>IFERROR(__xludf.DUMMYFUNCTION("""COMPUTED_VALUE"""),46147.0)</f>
        <v>46147</v>
      </c>
      <c r="D236" s="34" t="str">
        <f>IFERROR(__xludf.DUMMYFUNCTION("""COMPUTED_VALUE"""),"IENDAH")</f>
        <v>IENDAH</v>
      </c>
    </row>
    <row r="237">
      <c r="A237" s="34" t="str">
        <f>IFERROR(__xludf.DUMMYFUNCTION("""COMPUTED_VALUE"""),"LATEX SARUNG TANGAN ")</f>
        <v>LATEX SARUNG TANGAN </v>
      </c>
      <c r="B237" s="34">
        <f>IFERROR(__xludf.DUMMYFUNCTION("""COMPUTED_VALUE"""),2.0)</f>
        <v>2</v>
      </c>
      <c r="C237" s="36">
        <f>IFERROR(__xludf.DUMMYFUNCTION("""COMPUTED_VALUE"""),46147.0)</f>
        <v>46147</v>
      </c>
      <c r="D237" s="34" t="str">
        <f>IFERROR(__xludf.DUMMYFUNCTION("""COMPUTED_VALUE"""),"ILYAS")</f>
        <v>ILYAS</v>
      </c>
    </row>
    <row r="238">
      <c r="A238" s="34" t="str">
        <f>IFERROR(__xludf.DUMMYFUNCTION("""COMPUTED_VALUE"""),"MASKER")</f>
        <v>MASKER</v>
      </c>
      <c r="B238" s="34">
        <f>IFERROR(__xludf.DUMMYFUNCTION("""COMPUTED_VALUE"""),2.0)</f>
        <v>2</v>
      </c>
      <c r="C238" s="36">
        <f>IFERROR(__xludf.DUMMYFUNCTION("""COMPUTED_VALUE"""),46147.0)</f>
        <v>46147</v>
      </c>
      <c r="D238" s="34" t="str">
        <f>IFERROR(__xludf.DUMMYFUNCTION("""COMPUTED_VALUE"""),"ILYAS")</f>
        <v>ILYAS</v>
      </c>
    </row>
    <row r="239">
      <c r="A239" s="34" t="str">
        <f>IFERROR(__xludf.DUMMYFUNCTION("""COMPUTED_VALUE"""),"AIR MINERAL")</f>
        <v>AIR MINERAL</v>
      </c>
      <c r="B239" s="34">
        <f>IFERROR(__xludf.DUMMYFUNCTION("""COMPUTED_VALUE"""),24.0)</f>
        <v>24</v>
      </c>
      <c r="C239" s="36">
        <f>IFERROR(__xludf.DUMMYFUNCTION("""COMPUTED_VALUE"""),46147.0)</f>
        <v>46147</v>
      </c>
      <c r="D239" s="34" t="str">
        <f>IFERROR(__xludf.DUMMYFUNCTION("""COMPUTED_VALUE"""),"GA")</f>
        <v>GA</v>
      </c>
    </row>
    <row r="240">
      <c r="A240" s="34" t="str">
        <f>IFERROR(__xludf.DUMMYFUNCTION("""COMPUTED_VALUE"""),"AIR MINERAL")</f>
        <v>AIR MINERAL</v>
      </c>
      <c r="B240" s="34">
        <f>IFERROR(__xludf.DUMMYFUNCTION("""COMPUTED_VALUE"""),24.0)</f>
        <v>24</v>
      </c>
      <c r="C240" s="36">
        <f>IFERROR(__xludf.DUMMYFUNCTION("""COMPUTED_VALUE"""),46147.0)</f>
        <v>46147</v>
      </c>
      <c r="D240" s="34" t="str">
        <f>IFERROR(__xludf.DUMMYFUNCTION("""COMPUTED_VALUE"""),"GA")</f>
        <v>GA</v>
      </c>
    </row>
    <row r="241">
      <c r="A241" s="34" t="str">
        <f>IFERROR(__xludf.DUMMYFUNCTION("""COMPUTED_VALUE"""),"HAIRNET DISPOSABLE")</f>
        <v>HAIRNET DISPOSABLE</v>
      </c>
      <c r="B241" s="34">
        <f>IFERROR(__xludf.DUMMYFUNCTION("""COMPUTED_VALUE"""),4.0)</f>
        <v>4</v>
      </c>
      <c r="C241" s="36">
        <f>IFERROR(__xludf.DUMMYFUNCTION("""COMPUTED_VALUE"""),46147.0)</f>
        <v>46147</v>
      </c>
      <c r="D241" s="34" t="str">
        <f>IFERROR(__xludf.DUMMYFUNCTION("""COMPUTED_VALUE"""),"FARHAN")</f>
        <v>FARHAN</v>
      </c>
    </row>
    <row r="242">
      <c r="A242" s="34" t="str">
        <f>IFERROR(__xludf.DUMMYFUNCTION("""COMPUTED_VALUE"""),"SHUNTON P10 80GR - KAMPER ")</f>
        <v>SHUNTON P10 80GR - KAMPER </v>
      </c>
      <c r="B242" s="34">
        <f>IFERROR(__xludf.DUMMYFUNCTION("""COMPUTED_VALUE"""),3.0)</f>
        <v>3</v>
      </c>
      <c r="C242" s="36">
        <f>IFERROR(__xludf.DUMMYFUNCTION("""COMPUTED_VALUE"""),46147.0)</f>
        <v>46147</v>
      </c>
      <c r="D242" s="34" t="str">
        <f>IFERROR(__xludf.DUMMYFUNCTION("""COMPUTED_VALUE"""),"GA HERIYANTO")</f>
        <v>GA HERIYANTO</v>
      </c>
    </row>
    <row r="243">
      <c r="A243" s="34" t="str">
        <f>IFERROR(__xludf.DUMMYFUNCTION("""COMPUTED_VALUE"""),"MASKER")</f>
        <v>MASKER</v>
      </c>
      <c r="B243" s="34">
        <f>IFERROR(__xludf.DUMMYFUNCTION("""COMPUTED_VALUE"""),1.0)</f>
        <v>1</v>
      </c>
      <c r="C243" s="36">
        <f>IFERROR(__xludf.DUMMYFUNCTION("""COMPUTED_VALUE"""),46147.0)</f>
        <v>46147</v>
      </c>
      <c r="D243" s="34" t="str">
        <f>IFERROR(__xludf.DUMMYFUNCTION("""COMPUTED_VALUE"""),"PRODUKSI")</f>
        <v>PRODUKSI</v>
      </c>
    </row>
    <row r="244">
      <c r="A244" s="34" t="str">
        <f>IFERROR(__xludf.DUMMYFUNCTION("""COMPUTED_VALUE"""),"LATEX SARUNG TANGAN ")</f>
        <v>LATEX SARUNG TANGAN </v>
      </c>
      <c r="B244" s="34">
        <f>IFERROR(__xludf.DUMMYFUNCTION("""COMPUTED_VALUE"""),1.0)</f>
        <v>1</v>
      </c>
      <c r="C244" s="36">
        <f>IFERROR(__xludf.DUMMYFUNCTION("""COMPUTED_VALUE"""),46147.0)</f>
        <v>46147</v>
      </c>
      <c r="D244" s="34" t="str">
        <f>IFERROR(__xludf.DUMMYFUNCTION("""COMPUTED_VALUE"""),"PRODUKSI")</f>
        <v>PRODUKSI</v>
      </c>
    </row>
    <row r="245">
      <c r="A245" s="34" t="str">
        <f>IFERROR(__xludf.DUMMYFUNCTION("""COMPUTED_VALUE"""),"MASKER")</f>
        <v>MASKER</v>
      </c>
      <c r="B245" s="34">
        <f>IFERROR(__xludf.DUMMYFUNCTION("""COMPUTED_VALUE"""),1.0)</f>
        <v>1</v>
      </c>
      <c r="C245" s="36">
        <f>IFERROR(__xludf.DUMMYFUNCTION("""COMPUTED_VALUE"""),46147.0)</f>
        <v>46147</v>
      </c>
      <c r="D245" s="34" t="str">
        <f>IFERROR(__xludf.DUMMYFUNCTION("""COMPUTED_VALUE"""),"PRODUKSI")</f>
        <v>PRODUKSI</v>
      </c>
    </row>
    <row r="246">
      <c r="A246" s="34" t="str">
        <f>IFERROR(__xludf.DUMMYFUNCTION("""COMPUTED_VALUE"""),"LATEX SARUNG TANGAN ")</f>
        <v>LATEX SARUNG TANGAN </v>
      </c>
      <c r="B246" s="34">
        <f>IFERROR(__xludf.DUMMYFUNCTION("""COMPUTED_VALUE"""),1.0)</f>
        <v>1</v>
      </c>
      <c r="C246" s="36">
        <f>IFERROR(__xludf.DUMMYFUNCTION("""COMPUTED_VALUE"""),46147.0)</f>
        <v>46147</v>
      </c>
      <c r="D246" s="34" t="str">
        <f>IFERROR(__xludf.DUMMYFUNCTION("""COMPUTED_VALUE"""),"PRODUKSI")</f>
        <v>PRODUKSI</v>
      </c>
    </row>
    <row r="247">
      <c r="A247" s="34" t="str">
        <f>IFERROR(__xludf.DUMMYFUNCTION("""COMPUTED_VALUE"""),"SHEET PROTECTOR ")</f>
        <v>SHEET PROTECTOR </v>
      </c>
      <c r="B247" s="34">
        <f>IFERROR(__xludf.DUMMYFUNCTION("""COMPUTED_VALUE"""),1.0)</f>
        <v>1</v>
      </c>
      <c r="C247" s="36">
        <f>IFERROR(__xludf.DUMMYFUNCTION("""COMPUTED_VALUE"""),46148.0)</f>
        <v>46148</v>
      </c>
      <c r="D247" s="34" t="str">
        <f>IFERROR(__xludf.DUMMYFUNCTION("""COMPUTED_VALUE"""),"GA IENDAH")</f>
        <v>GA IENDAH</v>
      </c>
    </row>
    <row r="248">
      <c r="A248" s="34" t="str">
        <f>IFERROR(__xludf.DUMMYFUNCTION("""COMPUTED_VALUE"""),"PLASTIK SAMPAH")</f>
        <v>PLASTIK SAMPAH</v>
      </c>
      <c r="B248" s="34">
        <f>IFERROR(__xludf.DUMMYFUNCTION("""COMPUTED_VALUE"""),1.0)</f>
        <v>1</v>
      </c>
      <c r="C248" s="36">
        <f>IFERROR(__xludf.DUMMYFUNCTION("""COMPUTED_VALUE"""),46148.0)</f>
        <v>46148</v>
      </c>
      <c r="D248" s="34" t="str">
        <f>IFERROR(__xludf.DUMMYFUNCTION("""COMPUTED_VALUE"""),"GA HERIYANTO")</f>
        <v>GA HERIYANTO</v>
      </c>
    </row>
    <row r="249">
      <c r="A249" s="34" t="str">
        <f>IFERROR(__xludf.DUMMYFUNCTION("""COMPUTED_VALUE"""),"GLADE ")</f>
        <v>GLADE </v>
      </c>
      <c r="B249" s="34">
        <f>IFERROR(__xludf.DUMMYFUNCTION("""COMPUTED_VALUE"""),1.0)</f>
        <v>1</v>
      </c>
      <c r="C249" s="36">
        <f>IFERROR(__xludf.DUMMYFUNCTION("""COMPUTED_VALUE"""),46148.0)</f>
        <v>46148</v>
      </c>
      <c r="D249" s="34" t="str">
        <f>IFERROR(__xludf.DUMMYFUNCTION("""COMPUTED_VALUE"""),"GA HERIYANTO")</f>
        <v>GA HERIYANTO</v>
      </c>
    </row>
    <row r="250">
      <c r="A250" s="34" t="str">
        <f>IFERROR(__xludf.DUMMYFUNCTION("""COMPUTED_VALUE"""),"TISSUE")</f>
        <v>TISSUE</v>
      </c>
      <c r="B250" s="34">
        <f>IFERROR(__xludf.DUMMYFUNCTION("""COMPUTED_VALUE"""),1.0)</f>
        <v>1</v>
      </c>
      <c r="C250" s="36">
        <f>IFERROR(__xludf.DUMMYFUNCTION("""COMPUTED_VALUE"""),46148.0)</f>
        <v>46148</v>
      </c>
      <c r="D250" s="34" t="str">
        <f>IFERROR(__xludf.DUMMYFUNCTION("""COMPUTED_VALUE"""),"RIANTI")</f>
        <v>RIANTI</v>
      </c>
    </row>
    <row r="251">
      <c r="A251" s="34" t="str">
        <f>IFERROR(__xludf.DUMMYFUNCTION("""COMPUTED_VALUE"""),"AIR MINERAL")</f>
        <v>AIR MINERAL</v>
      </c>
      <c r="B251" s="34">
        <f>IFERROR(__xludf.DUMMYFUNCTION("""COMPUTED_VALUE"""),24.0)</f>
        <v>24</v>
      </c>
      <c r="C251" s="36">
        <f>IFERROR(__xludf.DUMMYFUNCTION("""COMPUTED_VALUE"""),46148.0)</f>
        <v>46148</v>
      </c>
      <c r="D251" s="34" t="str">
        <f>IFERROR(__xludf.DUMMYFUNCTION("""COMPUTED_VALUE"""),"RIANTI")</f>
        <v>RIANTI</v>
      </c>
    </row>
    <row r="252">
      <c r="A252" s="34" t="str">
        <f>IFERROR(__xludf.DUMMYFUNCTION("""COMPUTED_VALUE"""),"TISSUE")</f>
        <v>TISSUE</v>
      </c>
      <c r="B252" s="34">
        <f>IFERROR(__xludf.DUMMYFUNCTION("""COMPUTED_VALUE"""),1.0)</f>
        <v>1</v>
      </c>
      <c r="C252" s="36">
        <f>IFERROR(__xludf.DUMMYFUNCTION("""COMPUTED_VALUE"""),46148.0)</f>
        <v>46148</v>
      </c>
      <c r="D252" s="34" t="str">
        <f>IFERROR(__xludf.DUMMYFUNCTION("""COMPUTED_VALUE"""),"RIANTI")</f>
        <v>RIANTI</v>
      </c>
    </row>
    <row r="253">
      <c r="A253" s="34" t="str">
        <f>IFERROR(__xludf.DUMMYFUNCTION("""COMPUTED_VALUE"""),"TISSUE")</f>
        <v>TISSUE</v>
      </c>
      <c r="B253" s="34">
        <f>IFERROR(__xludf.DUMMYFUNCTION("""COMPUTED_VALUE"""),5.0)</f>
        <v>5</v>
      </c>
      <c r="C253" s="36">
        <f>IFERROR(__xludf.DUMMYFUNCTION("""COMPUTED_VALUE"""),46148.0)</f>
        <v>46148</v>
      </c>
      <c r="D253" s="34" t="str">
        <f>IFERROR(__xludf.DUMMYFUNCTION("""COMPUTED_VALUE"""),"WAYAN")</f>
        <v>WAYAN</v>
      </c>
    </row>
    <row r="254">
      <c r="A254" s="34" t="str">
        <f>IFERROR(__xludf.DUMMYFUNCTION("""COMPUTED_VALUE"""),"SPIDOL HITAM")</f>
        <v>SPIDOL HITAM</v>
      </c>
      <c r="B254" s="34">
        <f>IFERROR(__xludf.DUMMYFUNCTION("""COMPUTED_VALUE"""),2.0)</f>
        <v>2</v>
      </c>
      <c r="C254" s="36">
        <f>IFERROR(__xludf.DUMMYFUNCTION("""COMPUTED_VALUE"""),46148.0)</f>
        <v>46148</v>
      </c>
      <c r="D254" s="34" t="str">
        <f>IFERROR(__xludf.DUMMYFUNCTION("""COMPUTED_VALUE"""),"WAYAN")</f>
        <v>WAYAN</v>
      </c>
    </row>
    <row r="255">
      <c r="A255" s="34" t="str">
        <f>IFERROR(__xludf.DUMMYFUNCTION("""COMPUTED_VALUE"""),"KERTAS HVS A4")</f>
        <v>KERTAS HVS A4</v>
      </c>
      <c r="B255" s="34">
        <f>IFERROR(__xludf.DUMMYFUNCTION("""COMPUTED_VALUE"""),10.0)</f>
        <v>10</v>
      </c>
      <c r="C255" s="36">
        <f>IFERROR(__xludf.DUMMYFUNCTION("""COMPUTED_VALUE"""),46148.0)</f>
        <v>46148</v>
      </c>
      <c r="D255" s="34" t="str">
        <f>IFERROR(__xludf.DUMMYFUNCTION("""COMPUTED_VALUE"""),"WAYAN")</f>
        <v>WAYAN</v>
      </c>
    </row>
    <row r="256">
      <c r="A256" s="34" t="str">
        <f>IFERROR(__xludf.DUMMYFUNCTION("""COMPUTED_VALUE"""),"ISI CUTTER")</f>
        <v>ISI CUTTER</v>
      </c>
      <c r="B256" s="34">
        <f>IFERROR(__xludf.DUMMYFUNCTION("""COMPUTED_VALUE"""),1.0)</f>
        <v>1</v>
      </c>
      <c r="C256" s="36">
        <f>IFERROR(__xludf.DUMMYFUNCTION("""COMPUTED_VALUE"""),46148.0)</f>
        <v>46148</v>
      </c>
      <c r="D256" s="34" t="str">
        <f>IFERROR(__xludf.DUMMYFUNCTION("""COMPUTED_VALUE"""),"WAYAN")</f>
        <v>WAYAN</v>
      </c>
    </row>
    <row r="257">
      <c r="A257" s="34" t="str">
        <f>IFERROR(__xludf.DUMMYFUNCTION("""COMPUTED_VALUE"""),"TINTA STEMPEL")</f>
        <v>TINTA STEMPEL</v>
      </c>
      <c r="B257" s="34">
        <f>IFERROR(__xludf.DUMMYFUNCTION("""COMPUTED_VALUE"""),1.0)</f>
        <v>1</v>
      </c>
      <c r="C257" s="36">
        <f>IFERROR(__xludf.DUMMYFUNCTION("""COMPUTED_VALUE"""),46148.0)</f>
        <v>46148</v>
      </c>
      <c r="D257" s="34" t="str">
        <f>IFERROR(__xludf.DUMMYFUNCTION("""COMPUTED_VALUE"""),"WAYAN")</f>
        <v>WAYAN</v>
      </c>
    </row>
    <row r="258">
      <c r="A258" s="34" t="str">
        <f>IFERROR(__xludf.DUMMYFUNCTION("""COMPUTED_VALUE"""),"TINTA PRINTER L3201 HITAM")</f>
        <v>TINTA PRINTER L3201 HITAM</v>
      </c>
      <c r="B258" s="34">
        <f>IFERROR(__xludf.DUMMYFUNCTION("""COMPUTED_VALUE"""),1.0)</f>
        <v>1</v>
      </c>
      <c r="C258" s="36">
        <f>IFERROR(__xludf.DUMMYFUNCTION("""COMPUTED_VALUE"""),46148.0)</f>
        <v>46148</v>
      </c>
      <c r="D258" s="34" t="str">
        <f>IFERROR(__xludf.DUMMYFUNCTION("""COMPUTED_VALUE"""),"WAYAN")</f>
        <v>WAYAN</v>
      </c>
    </row>
    <row r="259">
      <c r="A259" s="34" t="str">
        <f>IFERROR(__xludf.DUMMYFUNCTION("""COMPUTED_VALUE"""),"TINTA PRINTER L3201 BIRU")</f>
        <v>TINTA PRINTER L3201 BIRU</v>
      </c>
      <c r="B259" s="34">
        <f>IFERROR(__xludf.DUMMYFUNCTION("""COMPUTED_VALUE"""),1.0)</f>
        <v>1</v>
      </c>
      <c r="C259" s="36">
        <f>IFERROR(__xludf.DUMMYFUNCTION("""COMPUTED_VALUE"""),46148.0)</f>
        <v>46148</v>
      </c>
      <c r="D259" s="34" t="str">
        <f>IFERROR(__xludf.DUMMYFUNCTION("""COMPUTED_VALUE"""),"WAYAN")</f>
        <v>WAYAN</v>
      </c>
    </row>
    <row r="260">
      <c r="A260" s="34" t="str">
        <f>IFERROR(__xludf.DUMMYFUNCTION("""COMPUTED_VALUE"""),"MASKER")</f>
        <v>MASKER</v>
      </c>
      <c r="B260" s="34">
        <f>IFERROR(__xludf.DUMMYFUNCTION("""COMPUTED_VALUE"""),1.0)</f>
        <v>1</v>
      </c>
      <c r="C260" s="36">
        <f>IFERROR(__xludf.DUMMYFUNCTION("""COMPUTED_VALUE"""),46148.0)</f>
        <v>46148</v>
      </c>
      <c r="D260" s="34" t="str">
        <f>IFERROR(__xludf.DUMMYFUNCTION("""COMPUTED_VALUE"""),"TIKA")</f>
        <v>TIKA</v>
      </c>
    </row>
    <row r="261">
      <c r="A261" s="34" t="str">
        <f>IFERROR(__xludf.DUMMYFUNCTION("""COMPUTED_VALUE"""),"LATEX SARUNG TANGAN ")</f>
        <v>LATEX SARUNG TANGAN </v>
      </c>
      <c r="B261" s="34">
        <f>IFERROR(__xludf.DUMMYFUNCTION("""COMPUTED_VALUE"""),1.0)</f>
        <v>1</v>
      </c>
      <c r="C261" s="36">
        <f>IFERROR(__xludf.DUMMYFUNCTION("""COMPUTED_VALUE"""),46148.0)</f>
        <v>46148</v>
      </c>
      <c r="D261" s="34" t="str">
        <f>IFERROR(__xludf.DUMMYFUNCTION("""COMPUTED_VALUE"""),"TIKA")</f>
        <v>TIKA</v>
      </c>
    </row>
    <row r="262">
      <c r="A262" s="34" t="str">
        <f>IFERROR(__xludf.DUMMYFUNCTION("""COMPUTED_VALUE"""),"MASKER")</f>
        <v>MASKER</v>
      </c>
      <c r="B262" s="34">
        <f>IFERROR(__xludf.DUMMYFUNCTION("""COMPUTED_VALUE"""),1.0)</f>
        <v>1</v>
      </c>
      <c r="C262" s="36">
        <f>IFERROR(__xludf.DUMMYFUNCTION("""COMPUTED_VALUE"""),46148.0)</f>
        <v>46148</v>
      </c>
      <c r="D262" s="34" t="str">
        <f>IFERROR(__xludf.DUMMYFUNCTION("""COMPUTED_VALUE"""),"TIKA")</f>
        <v>TIKA</v>
      </c>
    </row>
    <row r="263">
      <c r="A263" s="34" t="str">
        <f>IFERROR(__xludf.DUMMYFUNCTION("""COMPUTED_VALUE"""),"LATEX SARUNG TANGAN ")</f>
        <v>LATEX SARUNG TANGAN </v>
      </c>
      <c r="B263" s="34">
        <f>IFERROR(__xludf.DUMMYFUNCTION("""COMPUTED_VALUE"""),2.0)</f>
        <v>2</v>
      </c>
      <c r="C263" s="36">
        <f>IFERROR(__xludf.DUMMYFUNCTION("""COMPUTED_VALUE"""),46148.0)</f>
        <v>46148</v>
      </c>
      <c r="D263" s="34" t="str">
        <f>IFERROR(__xludf.DUMMYFUNCTION("""COMPUTED_VALUE"""),"TIKA")</f>
        <v>TIKA</v>
      </c>
    </row>
    <row r="264">
      <c r="A264" s="34" t="str">
        <f>IFERROR(__xludf.DUMMYFUNCTION("""COMPUTED_VALUE"""),"MASKER")</f>
        <v>MASKER</v>
      </c>
      <c r="B264" s="34">
        <f>IFERROR(__xludf.DUMMYFUNCTION("""COMPUTED_VALUE"""),1.0)</f>
        <v>1</v>
      </c>
      <c r="C264" s="36">
        <f>IFERROR(__xludf.DUMMYFUNCTION("""COMPUTED_VALUE"""),46148.0)</f>
        <v>46148</v>
      </c>
      <c r="D264" s="34" t="str">
        <f>IFERROR(__xludf.DUMMYFUNCTION("""COMPUTED_VALUE"""),"ROY")</f>
        <v>ROY</v>
      </c>
    </row>
    <row r="265">
      <c r="A265" s="34" t="str">
        <f>IFERROR(__xludf.DUMMYFUNCTION("""COMPUTED_VALUE"""),"LATEX SARUNG TANGAN ")</f>
        <v>LATEX SARUNG TANGAN </v>
      </c>
      <c r="B265" s="34">
        <f>IFERROR(__xludf.DUMMYFUNCTION("""COMPUTED_VALUE"""),1.0)</f>
        <v>1</v>
      </c>
      <c r="C265" s="36">
        <f>IFERROR(__xludf.DUMMYFUNCTION("""COMPUTED_VALUE"""),46148.0)</f>
        <v>46148</v>
      </c>
      <c r="D265" s="34" t="str">
        <f>IFERROR(__xludf.DUMMYFUNCTION("""COMPUTED_VALUE"""),"ROY")</f>
        <v>ROY</v>
      </c>
    </row>
    <row r="266">
      <c r="A266" s="34" t="str">
        <f>IFERROR(__xludf.DUMMYFUNCTION("""COMPUTED_VALUE"""),"MASKER")</f>
        <v>MASKER</v>
      </c>
      <c r="B266" s="34">
        <f>IFERROR(__xludf.DUMMYFUNCTION("""COMPUTED_VALUE"""),1.0)</f>
        <v>1</v>
      </c>
      <c r="C266" s="36">
        <f>IFERROR(__xludf.DUMMYFUNCTION("""COMPUTED_VALUE"""),46148.0)</f>
        <v>46148</v>
      </c>
      <c r="D266" s="34" t="str">
        <f>IFERROR(__xludf.DUMMYFUNCTION("""COMPUTED_VALUE"""),"DANI")</f>
        <v>DANI</v>
      </c>
    </row>
    <row r="267">
      <c r="A267" s="34" t="str">
        <f>IFERROR(__xludf.DUMMYFUNCTION("""COMPUTED_VALUE"""),"LATEX SARUNG TANGAN ")</f>
        <v>LATEX SARUNG TANGAN </v>
      </c>
      <c r="B267" s="34">
        <f>IFERROR(__xludf.DUMMYFUNCTION("""COMPUTED_VALUE"""),1.0)</f>
        <v>1</v>
      </c>
      <c r="C267" s="36">
        <f>IFERROR(__xludf.DUMMYFUNCTION("""COMPUTED_VALUE"""),46148.0)</f>
        <v>46148</v>
      </c>
      <c r="D267" s="34" t="str">
        <f>IFERROR(__xludf.DUMMYFUNCTION("""COMPUTED_VALUE"""),"DANI")</f>
        <v>DANI</v>
      </c>
    </row>
    <row r="268">
      <c r="A268" s="34" t="str">
        <f>IFERROR(__xludf.DUMMYFUNCTION("""COMPUTED_VALUE"""),"TISSUE")</f>
        <v>TISSUE</v>
      </c>
      <c r="B268" s="34">
        <f>IFERROR(__xludf.DUMMYFUNCTION("""COMPUTED_VALUE"""),2.0)</f>
        <v>2</v>
      </c>
      <c r="C268" s="36">
        <f>IFERROR(__xludf.DUMMYFUNCTION("""COMPUTED_VALUE"""),46148.0)</f>
        <v>46148</v>
      </c>
      <c r="D268" s="34" t="str">
        <f>IFERROR(__xludf.DUMMYFUNCTION("""COMPUTED_VALUE"""),"DANI")</f>
        <v>DANI</v>
      </c>
    </row>
    <row r="269">
      <c r="A269" s="34" t="str">
        <f>IFERROR(__xludf.DUMMYFUNCTION("""COMPUTED_VALUE"""),"PLASTIK SAMPAH")</f>
        <v>PLASTIK SAMPAH</v>
      </c>
      <c r="B269" s="34">
        <f>IFERROR(__xludf.DUMMYFUNCTION("""COMPUTED_VALUE"""),1.0)</f>
        <v>1</v>
      </c>
      <c r="C269" s="36">
        <f>IFERROR(__xludf.DUMMYFUNCTION("""COMPUTED_VALUE"""),46148.0)</f>
        <v>46148</v>
      </c>
      <c r="D269" s="34" t="str">
        <f>IFERROR(__xludf.DUMMYFUNCTION("""COMPUTED_VALUE"""),"FAREL")</f>
        <v>FAREL</v>
      </c>
    </row>
    <row r="270">
      <c r="A270" s="34" t="str">
        <f>IFERROR(__xludf.DUMMYFUNCTION("""COMPUTED_VALUE"""),"PORSTEX")</f>
        <v>PORSTEX</v>
      </c>
      <c r="B270" s="34">
        <f>IFERROR(__xludf.DUMMYFUNCTION("""COMPUTED_VALUE"""),1.0)</f>
        <v>1</v>
      </c>
      <c r="C270" s="36">
        <f>IFERROR(__xludf.DUMMYFUNCTION("""COMPUTED_VALUE"""),46148.0)</f>
        <v>46148</v>
      </c>
      <c r="D270" s="34" t="str">
        <f>IFERROR(__xludf.DUMMYFUNCTION("""COMPUTED_VALUE"""),"FAREL")</f>
        <v>FAREL</v>
      </c>
    </row>
    <row r="271">
      <c r="A271" s="34" t="str">
        <f>IFERROR(__xludf.DUMMYFUNCTION("""COMPUTED_VALUE"""),"TOPRON PEMBERSIH KERAMIK , PORCELAIN BOTOL 1 LITER ")</f>
        <v>TOPRON PEMBERSIH KERAMIK , PORCELAIN BOTOL 1 LITER </v>
      </c>
      <c r="B271" s="34">
        <f>IFERROR(__xludf.DUMMYFUNCTION("""COMPUTED_VALUE"""),2.0)</f>
        <v>2</v>
      </c>
      <c r="C271" s="36">
        <f>IFERROR(__xludf.DUMMYFUNCTION("""COMPUTED_VALUE"""),46148.0)</f>
        <v>46148</v>
      </c>
      <c r="D271" s="34" t="str">
        <f>IFERROR(__xludf.DUMMYFUNCTION("""COMPUTED_VALUE"""),"FAREL")</f>
        <v>FAREL</v>
      </c>
    </row>
    <row r="272">
      <c r="A272" s="34" t="str">
        <f>IFERROR(__xludf.DUMMYFUNCTION("""COMPUTED_VALUE"""),"PLASTIK SAMPAH")</f>
        <v>PLASTIK SAMPAH</v>
      </c>
      <c r="B272" s="34">
        <f>IFERROR(__xludf.DUMMYFUNCTION("""COMPUTED_VALUE"""),1.0)</f>
        <v>1</v>
      </c>
      <c r="C272" s="36">
        <f>IFERROR(__xludf.DUMMYFUNCTION("""COMPUTED_VALUE"""),46148.0)</f>
        <v>46148</v>
      </c>
      <c r="D272" s="34" t="str">
        <f>IFERROR(__xludf.DUMMYFUNCTION("""COMPUTED_VALUE"""),"RIZKI")</f>
        <v>RIZKI</v>
      </c>
    </row>
    <row r="273">
      <c r="A273" s="34" t="str">
        <f>IFERROR(__xludf.DUMMYFUNCTION("""COMPUTED_VALUE"""),"KERTAS HVS A4")</f>
        <v>KERTAS HVS A4</v>
      </c>
      <c r="B273" s="34">
        <f>IFERROR(__xludf.DUMMYFUNCTION("""COMPUTED_VALUE"""),4.0)</f>
        <v>4</v>
      </c>
      <c r="C273" s="36">
        <f>IFERROR(__xludf.DUMMYFUNCTION("""COMPUTED_VALUE"""),46148.0)</f>
        <v>46148</v>
      </c>
      <c r="D273" s="34" t="str">
        <f>IFERROR(__xludf.DUMMYFUNCTION("""COMPUTED_VALUE"""),"DHELA")</f>
        <v>DHELA</v>
      </c>
    </row>
    <row r="274">
      <c r="A274" s="34" t="str">
        <f>IFERROR(__xludf.DUMMYFUNCTION("""COMPUTED_VALUE"""),"TISSUE")</f>
        <v>TISSUE</v>
      </c>
      <c r="B274" s="34">
        <f>IFERROR(__xludf.DUMMYFUNCTION("""COMPUTED_VALUE"""),3.0)</f>
        <v>3</v>
      </c>
      <c r="C274" s="36">
        <f>IFERROR(__xludf.DUMMYFUNCTION("""COMPUTED_VALUE"""),46148.0)</f>
        <v>46148</v>
      </c>
      <c r="D274" s="34" t="str">
        <f>IFERROR(__xludf.DUMMYFUNCTION("""COMPUTED_VALUE"""),"LOGISTIK")</f>
        <v>LOGISTIK</v>
      </c>
    </row>
    <row r="275">
      <c r="A275" s="34" t="str">
        <f>IFERROR(__xludf.DUMMYFUNCTION("""COMPUTED_VALUE"""),"KERTAS HVS A4")</f>
        <v>KERTAS HVS A4</v>
      </c>
      <c r="B275" s="34">
        <f>IFERROR(__xludf.DUMMYFUNCTION("""COMPUTED_VALUE"""),20.0)</f>
        <v>20</v>
      </c>
      <c r="C275" s="36">
        <f>IFERROR(__xludf.DUMMYFUNCTION("""COMPUTED_VALUE"""),46148.0)</f>
        <v>46148</v>
      </c>
      <c r="D275" s="34" t="str">
        <f>IFERROR(__xludf.DUMMYFUNCTION("""COMPUTED_VALUE"""),"LOGISTIK")</f>
        <v>LOGISTIK</v>
      </c>
    </row>
    <row r="276">
      <c r="A276" s="34" t="str">
        <f>IFERROR(__xludf.DUMMYFUNCTION("""COMPUTED_VALUE"""),"PULPEN HITAM")</f>
        <v>PULPEN HITAM</v>
      </c>
      <c r="B276" s="34">
        <f>IFERROR(__xludf.DUMMYFUNCTION("""COMPUTED_VALUE"""),12.0)</f>
        <v>12</v>
      </c>
      <c r="C276" s="36">
        <f>IFERROR(__xludf.DUMMYFUNCTION("""COMPUTED_VALUE"""),46148.0)</f>
        <v>46148</v>
      </c>
      <c r="D276" s="34" t="str">
        <f>IFERROR(__xludf.DUMMYFUNCTION("""COMPUTED_VALUE"""),"LOGISTIK")</f>
        <v>LOGISTIK</v>
      </c>
    </row>
    <row r="277">
      <c r="A277" s="34" t="str">
        <f>IFERROR(__xludf.DUMMYFUNCTION("""COMPUTED_VALUE"""),"SPIDOL HITAM")</f>
        <v>SPIDOL HITAM</v>
      </c>
      <c r="B277" s="34">
        <f>IFERROR(__xludf.DUMMYFUNCTION("""COMPUTED_VALUE"""),2.0)</f>
        <v>2</v>
      </c>
      <c r="C277" s="36">
        <f>IFERROR(__xludf.DUMMYFUNCTION("""COMPUTED_VALUE"""),46148.0)</f>
        <v>46148</v>
      </c>
      <c r="D277" s="34" t="str">
        <f>IFERROR(__xludf.DUMMYFUNCTION("""COMPUTED_VALUE"""),"LOGISTIK")</f>
        <v>LOGISTIK</v>
      </c>
    </row>
    <row r="278">
      <c r="A278" s="34" t="str">
        <f>IFERROR(__xludf.DUMMYFUNCTION("""COMPUTED_VALUE"""),"MASKER")</f>
        <v>MASKER</v>
      </c>
      <c r="B278" s="34">
        <f>IFERROR(__xludf.DUMMYFUNCTION("""COMPUTED_VALUE"""),1.0)</f>
        <v>1</v>
      </c>
      <c r="C278" s="36">
        <f>IFERROR(__xludf.DUMMYFUNCTION("""COMPUTED_VALUE"""),46148.0)</f>
        <v>46148</v>
      </c>
      <c r="D278" s="34" t="str">
        <f>IFERROR(__xludf.DUMMYFUNCTION("""COMPUTED_VALUE"""),"LOGISTIK")</f>
        <v>LOGISTIK</v>
      </c>
    </row>
    <row r="279">
      <c r="A279" s="34" t="str">
        <f>IFERROR(__xludf.DUMMYFUNCTION("""COMPUTED_VALUE"""),"TOPRON PEMBERSIH KERAMIK , PORCELAIN BOTOL 1 LITER ")</f>
        <v>TOPRON PEMBERSIH KERAMIK , PORCELAIN BOTOL 1 LITER </v>
      </c>
      <c r="B279" s="34">
        <f>IFERROR(__xludf.DUMMYFUNCTION("""COMPUTED_VALUE"""),1.0)</f>
        <v>1</v>
      </c>
      <c r="C279" s="36">
        <f>IFERROR(__xludf.DUMMYFUNCTION("""COMPUTED_VALUE"""),46148.0)</f>
        <v>46148</v>
      </c>
      <c r="D279" s="34" t="str">
        <f>IFERROR(__xludf.DUMMYFUNCTION("""COMPUTED_VALUE"""),"PRODUKSI")</f>
        <v>PRODUKSI</v>
      </c>
    </row>
    <row r="280">
      <c r="A280" s="34" t="str">
        <f>IFERROR(__xludf.DUMMYFUNCTION("""COMPUTED_VALUE"""),"MASKER")</f>
        <v>MASKER</v>
      </c>
      <c r="B280" s="34">
        <f>IFERROR(__xludf.DUMMYFUNCTION("""COMPUTED_VALUE"""),2.0)</f>
        <v>2</v>
      </c>
      <c r="C280" s="36">
        <f>IFERROR(__xludf.DUMMYFUNCTION("""COMPUTED_VALUE"""),46148.0)</f>
        <v>46148</v>
      </c>
      <c r="D280" s="34" t="str">
        <f>IFERROR(__xludf.DUMMYFUNCTION("""COMPUTED_VALUE"""),"ILYAS")</f>
        <v>ILYAS</v>
      </c>
    </row>
    <row r="281">
      <c r="A281" s="34" t="str">
        <f>IFERROR(__xludf.DUMMYFUNCTION("""COMPUTED_VALUE"""),"TISSUE")</f>
        <v>TISSUE</v>
      </c>
      <c r="B281" s="34">
        <f>IFERROR(__xludf.DUMMYFUNCTION("""COMPUTED_VALUE"""),1.0)</f>
        <v>1</v>
      </c>
      <c r="C281" s="36">
        <f>IFERROR(__xludf.DUMMYFUNCTION("""COMPUTED_VALUE"""),46148.0)</f>
        <v>46148</v>
      </c>
      <c r="D281" s="34" t="str">
        <f>IFERROR(__xludf.DUMMYFUNCTION("""COMPUTED_VALUE"""),"ILYAS")</f>
        <v>ILYAS</v>
      </c>
    </row>
    <row r="282">
      <c r="A282" s="34" t="str">
        <f>IFERROR(__xludf.DUMMYFUNCTION("""COMPUTED_VALUE"""),"SUSU ")</f>
        <v>SUSU </v>
      </c>
      <c r="B282" s="34">
        <f>IFERROR(__xludf.DUMMYFUNCTION("""COMPUTED_VALUE"""),96.0)</f>
        <v>96</v>
      </c>
      <c r="C282" s="36">
        <f>IFERROR(__xludf.DUMMYFUNCTION("""COMPUTED_VALUE"""),46149.0)</f>
        <v>46149</v>
      </c>
      <c r="D282" s="34" t="str">
        <f>IFERROR(__xludf.DUMMYFUNCTION("""COMPUTED_VALUE"""),"FAREL")</f>
        <v>FAREL</v>
      </c>
    </row>
    <row r="283">
      <c r="A283" s="34" t="str">
        <f>IFERROR(__xludf.DUMMYFUNCTION("""COMPUTED_VALUE"""),"AIR MINERAL")</f>
        <v>AIR MINERAL</v>
      </c>
      <c r="B283" s="34">
        <f>IFERROR(__xludf.DUMMYFUNCTION("""COMPUTED_VALUE"""),24.0)</f>
        <v>24</v>
      </c>
      <c r="C283" s="36">
        <f>IFERROR(__xludf.DUMMYFUNCTION("""COMPUTED_VALUE"""),46149.0)</f>
        <v>46149</v>
      </c>
      <c r="D283" s="34" t="str">
        <f>IFERROR(__xludf.DUMMYFUNCTION("""COMPUTED_VALUE"""),"FAREL")</f>
        <v>FAREL</v>
      </c>
    </row>
    <row r="284">
      <c r="A284" s="34" t="str">
        <f>IFERROR(__xludf.DUMMYFUNCTION("""COMPUTED_VALUE"""),"TEH BOTOL")</f>
        <v>TEH BOTOL</v>
      </c>
      <c r="B284" s="34">
        <f>IFERROR(__xludf.DUMMYFUNCTION("""COMPUTED_VALUE"""),24.0)</f>
        <v>24</v>
      </c>
      <c r="C284" s="36">
        <f>IFERROR(__xludf.DUMMYFUNCTION("""COMPUTED_VALUE"""),46149.0)</f>
        <v>46149</v>
      </c>
      <c r="D284" s="34" t="str">
        <f>IFERROR(__xludf.DUMMYFUNCTION("""COMPUTED_VALUE"""),"FAREL")</f>
        <v>FAREL</v>
      </c>
    </row>
    <row r="285">
      <c r="A285" s="34" t="str">
        <f>IFERROR(__xludf.DUMMYFUNCTION("""COMPUTED_VALUE"""),"MASKER")</f>
        <v>MASKER</v>
      </c>
      <c r="B285" s="34">
        <f>IFERROR(__xludf.DUMMYFUNCTION("""COMPUTED_VALUE"""),1.0)</f>
        <v>1</v>
      </c>
      <c r="C285" s="36">
        <f>IFERROR(__xludf.DUMMYFUNCTION("""COMPUTED_VALUE"""),46149.0)</f>
        <v>46149</v>
      </c>
      <c r="D285" s="34" t="str">
        <f>IFERROR(__xludf.DUMMYFUNCTION("""COMPUTED_VALUE"""),"DANI")</f>
        <v>DANI</v>
      </c>
    </row>
    <row r="286">
      <c r="A286" s="34" t="str">
        <f>IFERROR(__xludf.DUMMYFUNCTION("""COMPUTED_VALUE"""),"LATEX SARUNG TANGAN ")</f>
        <v>LATEX SARUNG TANGAN </v>
      </c>
      <c r="B286" s="34">
        <f>IFERROR(__xludf.DUMMYFUNCTION("""COMPUTED_VALUE"""),1.0)</f>
        <v>1</v>
      </c>
      <c r="C286" s="36">
        <f>IFERROR(__xludf.DUMMYFUNCTION("""COMPUTED_VALUE"""),46149.0)</f>
        <v>46149</v>
      </c>
      <c r="D286" s="34" t="str">
        <f>IFERROR(__xludf.DUMMYFUNCTION("""COMPUTED_VALUE"""),"DANI")</f>
        <v>DANI</v>
      </c>
    </row>
    <row r="287">
      <c r="A287" s="34" t="str">
        <f>IFERROR(__xludf.DUMMYFUNCTION("""COMPUTED_VALUE"""),"MASKER")</f>
        <v>MASKER</v>
      </c>
      <c r="B287" s="34">
        <f>IFERROR(__xludf.DUMMYFUNCTION("""COMPUTED_VALUE"""),1.0)</f>
        <v>1</v>
      </c>
      <c r="C287" s="36">
        <f>IFERROR(__xludf.DUMMYFUNCTION("""COMPUTED_VALUE"""),46149.0)</f>
        <v>46149</v>
      </c>
      <c r="D287" s="34" t="str">
        <f>IFERROR(__xludf.DUMMYFUNCTION("""COMPUTED_VALUE"""),"ANISA")</f>
        <v>ANISA</v>
      </c>
    </row>
    <row r="288">
      <c r="A288" s="34" t="str">
        <f>IFERROR(__xludf.DUMMYFUNCTION("""COMPUTED_VALUE"""),"TISSUE")</f>
        <v>TISSUE</v>
      </c>
      <c r="B288" s="34">
        <f>IFERROR(__xludf.DUMMYFUNCTION("""COMPUTED_VALUE"""),1.0)</f>
        <v>1</v>
      </c>
      <c r="C288" s="36">
        <f>IFERROR(__xludf.DUMMYFUNCTION("""COMPUTED_VALUE"""),46149.0)</f>
        <v>46149</v>
      </c>
      <c r="D288" s="34" t="str">
        <f>IFERROR(__xludf.DUMMYFUNCTION("""COMPUTED_VALUE"""),"ANISA")</f>
        <v>ANISA</v>
      </c>
    </row>
    <row r="289">
      <c r="A289" s="34" t="str">
        <f>IFERROR(__xludf.DUMMYFUNCTION("""COMPUTED_VALUE"""),"MASKER")</f>
        <v>MASKER</v>
      </c>
      <c r="B289" s="34">
        <f>IFERROR(__xludf.DUMMYFUNCTION("""COMPUTED_VALUE"""),1.0)</f>
        <v>1</v>
      </c>
      <c r="C289" s="36">
        <f>IFERROR(__xludf.DUMMYFUNCTION("""COMPUTED_VALUE"""),46149.0)</f>
        <v>46149</v>
      </c>
      <c r="D289" s="34" t="str">
        <f>IFERROR(__xludf.DUMMYFUNCTION("""COMPUTED_VALUE"""),"FITA")</f>
        <v>FITA</v>
      </c>
    </row>
    <row r="290">
      <c r="A290" s="34" t="str">
        <f>IFERROR(__xludf.DUMMYFUNCTION("""COMPUTED_VALUE"""),"LATEX SARUNG TANGAN ")</f>
        <v>LATEX SARUNG TANGAN </v>
      </c>
      <c r="B290" s="34">
        <f>IFERROR(__xludf.DUMMYFUNCTION("""COMPUTED_VALUE"""),1.0)</f>
        <v>1</v>
      </c>
      <c r="C290" s="36">
        <f>IFERROR(__xludf.DUMMYFUNCTION("""COMPUTED_VALUE"""),46149.0)</f>
        <v>46149</v>
      </c>
      <c r="D290" s="34" t="str">
        <f>IFERROR(__xludf.DUMMYFUNCTION("""COMPUTED_VALUE"""),"FITA")</f>
        <v>FITA</v>
      </c>
    </row>
    <row r="291">
      <c r="A291" s="34" t="str">
        <f>IFERROR(__xludf.DUMMYFUNCTION("""COMPUTED_VALUE"""),"MASKER")</f>
        <v>MASKER</v>
      </c>
      <c r="B291" s="34">
        <f>IFERROR(__xludf.DUMMYFUNCTION("""COMPUTED_VALUE"""),1.0)</f>
        <v>1</v>
      </c>
      <c r="C291" s="36">
        <f>IFERROR(__xludf.DUMMYFUNCTION("""COMPUTED_VALUE"""),46149.0)</f>
        <v>46149</v>
      </c>
      <c r="D291" s="34" t="str">
        <f>IFERROR(__xludf.DUMMYFUNCTION("""COMPUTED_VALUE"""),"ROY")</f>
        <v>ROY</v>
      </c>
    </row>
    <row r="292">
      <c r="A292" s="34" t="str">
        <f>IFERROR(__xludf.DUMMYFUNCTION("""COMPUTED_VALUE"""),"LATEX SARUNG TANGAN ")</f>
        <v>LATEX SARUNG TANGAN </v>
      </c>
      <c r="B292" s="34">
        <f>IFERROR(__xludf.DUMMYFUNCTION("""COMPUTED_VALUE"""),1.0)</f>
        <v>1</v>
      </c>
      <c r="C292" s="36">
        <f>IFERROR(__xludf.DUMMYFUNCTION("""COMPUTED_VALUE"""),46149.0)</f>
        <v>46149</v>
      </c>
      <c r="D292" s="34" t="str">
        <f>IFERROR(__xludf.DUMMYFUNCTION("""COMPUTED_VALUE"""),"ROY")</f>
        <v>ROY</v>
      </c>
    </row>
    <row r="293">
      <c r="A293" s="34" t="str">
        <f>IFERROR(__xludf.DUMMYFUNCTION("""COMPUTED_VALUE"""),"MASKER")</f>
        <v>MASKER</v>
      </c>
      <c r="B293" s="34">
        <f>IFERROR(__xludf.DUMMYFUNCTION("""COMPUTED_VALUE"""),1.0)</f>
        <v>1</v>
      </c>
      <c r="C293" s="36">
        <f>IFERROR(__xludf.DUMMYFUNCTION("""COMPUTED_VALUE"""),46149.0)</f>
        <v>46149</v>
      </c>
      <c r="D293" s="34" t="str">
        <f>IFERROR(__xludf.DUMMYFUNCTION("""COMPUTED_VALUE"""),"ROY")</f>
        <v>ROY</v>
      </c>
    </row>
    <row r="294">
      <c r="A294" s="34" t="str">
        <f>IFERROR(__xludf.DUMMYFUNCTION("""COMPUTED_VALUE"""),"LATEX SARUNG TANGAN ")</f>
        <v>LATEX SARUNG TANGAN </v>
      </c>
      <c r="B294" s="34">
        <f>IFERROR(__xludf.DUMMYFUNCTION("""COMPUTED_VALUE"""),1.0)</f>
        <v>1</v>
      </c>
      <c r="C294" s="36">
        <f>IFERROR(__xludf.DUMMYFUNCTION("""COMPUTED_VALUE"""),46149.0)</f>
        <v>46149</v>
      </c>
      <c r="D294" s="34" t="str">
        <f>IFERROR(__xludf.DUMMYFUNCTION("""COMPUTED_VALUE"""),"ROY")</f>
        <v>ROY</v>
      </c>
    </row>
    <row r="295">
      <c r="A295" s="34" t="str">
        <f>IFERROR(__xludf.DUMMYFUNCTION("""COMPUTED_VALUE"""),"MASKER")</f>
        <v>MASKER</v>
      </c>
      <c r="B295" s="34">
        <f>IFERROR(__xludf.DUMMYFUNCTION("""COMPUTED_VALUE"""),2.0)</f>
        <v>2</v>
      </c>
      <c r="C295" s="36">
        <f>IFERROR(__xludf.DUMMYFUNCTION("""COMPUTED_VALUE"""),46149.0)</f>
        <v>46149</v>
      </c>
      <c r="D295" s="34" t="str">
        <f>IFERROR(__xludf.DUMMYFUNCTION("""COMPUTED_VALUE"""),"ILYAS")</f>
        <v>ILYAS</v>
      </c>
    </row>
    <row r="296">
      <c r="A296" s="34" t="str">
        <f>IFERROR(__xludf.DUMMYFUNCTION("""COMPUTED_VALUE"""),"SUSU ")</f>
        <v>SUSU </v>
      </c>
      <c r="B296" s="34">
        <f>IFERROR(__xludf.DUMMYFUNCTION("""COMPUTED_VALUE"""),96.0)</f>
        <v>96</v>
      </c>
      <c r="C296" s="36">
        <f>IFERROR(__xludf.DUMMYFUNCTION("""COMPUTED_VALUE"""),46149.0)</f>
        <v>46149</v>
      </c>
      <c r="D296" s="34" t="str">
        <f>IFERROR(__xludf.DUMMYFUNCTION("""COMPUTED_VALUE"""),"FAREL")</f>
        <v>FAREL</v>
      </c>
    </row>
    <row r="297">
      <c r="A297" s="34" t="str">
        <f>IFERROR(__xludf.DUMMYFUNCTION("""COMPUTED_VALUE"""),"SUSU ")</f>
        <v>SUSU </v>
      </c>
      <c r="B297" s="34">
        <f>IFERROR(__xludf.DUMMYFUNCTION("""COMPUTED_VALUE"""),120.0)</f>
        <v>120</v>
      </c>
      <c r="C297" s="36">
        <f>IFERROR(__xludf.DUMMYFUNCTION("""COMPUTED_VALUE"""),46149.0)</f>
        <v>46149</v>
      </c>
      <c r="D297" s="34" t="str">
        <f>IFERROR(__xludf.DUMMYFUNCTION("""COMPUTED_VALUE"""),"FAREL")</f>
        <v>FAREL</v>
      </c>
    </row>
    <row r="298">
      <c r="A298" s="34" t="str">
        <f>IFERROR(__xludf.DUMMYFUNCTION("""COMPUTED_VALUE"""),"MASKER")</f>
        <v>MASKER</v>
      </c>
      <c r="B298" s="34">
        <f>IFERROR(__xludf.DUMMYFUNCTION("""COMPUTED_VALUE"""),1.0)</f>
        <v>1</v>
      </c>
      <c r="C298" s="36">
        <f>IFERROR(__xludf.DUMMYFUNCTION("""COMPUTED_VALUE"""),46150.0)</f>
        <v>46150</v>
      </c>
      <c r="D298" s="34" t="str">
        <f>IFERROR(__xludf.DUMMYFUNCTION("""COMPUTED_VALUE"""),"ANISA")</f>
        <v>ANISA</v>
      </c>
    </row>
    <row r="299">
      <c r="A299" s="34" t="str">
        <f>IFERROR(__xludf.DUMMYFUNCTION("""COMPUTED_VALUE"""),"TISSUE")</f>
        <v>TISSUE</v>
      </c>
      <c r="B299" s="34">
        <f>IFERROR(__xludf.DUMMYFUNCTION("""COMPUTED_VALUE"""),1.0)</f>
        <v>1</v>
      </c>
      <c r="C299" s="36">
        <f>IFERROR(__xludf.DUMMYFUNCTION("""COMPUTED_VALUE"""),46150.0)</f>
        <v>46150</v>
      </c>
      <c r="D299" s="34" t="str">
        <f>IFERROR(__xludf.DUMMYFUNCTION("""COMPUTED_VALUE"""),"ANISA")</f>
        <v>ANISA</v>
      </c>
    </row>
    <row r="300">
      <c r="A300" s="34" t="str">
        <f>IFERROR(__xludf.DUMMYFUNCTION("""COMPUTED_VALUE"""),"MASKER")</f>
        <v>MASKER</v>
      </c>
      <c r="B300" s="34">
        <f>IFERROR(__xludf.DUMMYFUNCTION("""COMPUTED_VALUE"""),1.0)</f>
        <v>1</v>
      </c>
      <c r="C300" s="36">
        <f>IFERROR(__xludf.DUMMYFUNCTION("""COMPUTED_VALUE"""),46150.0)</f>
        <v>46150</v>
      </c>
      <c r="D300" s="34" t="str">
        <f>IFERROR(__xludf.DUMMYFUNCTION("""COMPUTED_VALUE"""),"ANISA")</f>
        <v>ANISA</v>
      </c>
    </row>
    <row r="301">
      <c r="A301" s="34" t="str">
        <f>IFERROR(__xludf.DUMMYFUNCTION("""COMPUTED_VALUE"""),"TISSUE")</f>
        <v>TISSUE</v>
      </c>
      <c r="B301" s="34">
        <f>IFERROR(__xludf.DUMMYFUNCTION("""COMPUTED_VALUE"""),1.0)</f>
        <v>1</v>
      </c>
      <c r="C301" s="36">
        <f>IFERROR(__xludf.DUMMYFUNCTION("""COMPUTED_VALUE"""),46150.0)</f>
        <v>46150</v>
      </c>
      <c r="D301" s="34" t="str">
        <f>IFERROR(__xludf.DUMMYFUNCTION("""COMPUTED_VALUE"""),"ANISA")</f>
        <v>ANISA</v>
      </c>
    </row>
    <row r="302">
      <c r="A302" s="34" t="str">
        <f>IFERROR(__xludf.DUMMYFUNCTION("""COMPUTED_VALUE"""),"LATEX SARUNG TANGAN ")</f>
        <v>LATEX SARUNG TANGAN </v>
      </c>
      <c r="B302" s="34">
        <f>IFERROR(__xludf.DUMMYFUNCTION("""COMPUTED_VALUE"""),1.0)</f>
        <v>1</v>
      </c>
      <c r="C302" s="36">
        <f>IFERROR(__xludf.DUMMYFUNCTION("""COMPUTED_VALUE"""),46150.0)</f>
        <v>46150</v>
      </c>
      <c r="D302" s="34" t="str">
        <f>IFERROR(__xludf.DUMMYFUNCTION("""COMPUTED_VALUE"""),"ANISA")</f>
        <v>ANISA</v>
      </c>
    </row>
    <row r="303">
      <c r="A303" s="34" t="str">
        <f>IFERROR(__xludf.DUMMYFUNCTION("""COMPUTED_VALUE"""),"MASKER")</f>
        <v>MASKER</v>
      </c>
      <c r="B303" s="34">
        <f>IFERROR(__xludf.DUMMYFUNCTION("""COMPUTED_VALUE"""),1.0)</f>
        <v>1</v>
      </c>
      <c r="C303" s="36">
        <f>IFERROR(__xludf.DUMMYFUNCTION("""COMPUTED_VALUE"""),46150.0)</f>
        <v>46150</v>
      </c>
      <c r="D303" s="34" t="str">
        <f>IFERROR(__xludf.DUMMYFUNCTION("""COMPUTED_VALUE"""),"ROY")</f>
        <v>ROY</v>
      </c>
    </row>
    <row r="304">
      <c r="A304" s="34" t="str">
        <f>IFERROR(__xludf.DUMMYFUNCTION("""COMPUTED_VALUE"""),"LATEX SARUNG TANGAN ")</f>
        <v>LATEX SARUNG TANGAN </v>
      </c>
      <c r="B304" s="34">
        <f>IFERROR(__xludf.DUMMYFUNCTION("""COMPUTED_VALUE"""),1.0)</f>
        <v>1</v>
      </c>
      <c r="C304" s="36">
        <f>IFERROR(__xludf.DUMMYFUNCTION("""COMPUTED_VALUE"""),46150.0)</f>
        <v>46150</v>
      </c>
      <c r="D304" s="34" t="str">
        <f>IFERROR(__xludf.DUMMYFUNCTION("""COMPUTED_VALUE"""),"DANI")</f>
        <v>DANI</v>
      </c>
    </row>
    <row r="305">
      <c r="A305" s="34" t="str">
        <f>IFERROR(__xludf.DUMMYFUNCTION("""COMPUTED_VALUE"""),"MASKER")</f>
        <v>MASKER</v>
      </c>
      <c r="B305" s="34">
        <f>IFERROR(__xludf.DUMMYFUNCTION("""COMPUTED_VALUE"""),1.0)</f>
        <v>1</v>
      </c>
      <c r="C305" s="36">
        <f>IFERROR(__xludf.DUMMYFUNCTION("""COMPUTED_VALUE"""),46150.0)</f>
        <v>46150</v>
      </c>
      <c r="D305" s="34" t="str">
        <f>IFERROR(__xludf.DUMMYFUNCTION("""COMPUTED_VALUE"""),"DANI")</f>
        <v>DANI</v>
      </c>
    </row>
    <row r="306">
      <c r="A306" s="34" t="str">
        <f>IFERROR(__xludf.DUMMYFUNCTION("""COMPUTED_VALUE"""),"MASKER")</f>
        <v>MASKER</v>
      </c>
      <c r="B306" s="34">
        <f>IFERROR(__xludf.DUMMYFUNCTION("""COMPUTED_VALUE"""),2.0)</f>
        <v>2</v>
      </c>
      <c r="C306" s="36">
        <f>IFERROR(__xludf.DUMMYFUNCTION("""COMPUTED_VALUE"""),46150.0)</f>
        <v>46150</v>
      </c>
      <c r="D306" s="34" t="str">
        <f>IFERROR(__xludf.DUMMYFUNCTION("""COMPUTED_VALUE"""),"ILYAS")</f>
        <v>ILYAS</v>
      </c>
    </row>
    <row r="307">
      <c r="A307" s="34" t="str">
        <f>IFERROR(__xludf.DUMMYFUNCTION("""COMPUTED_VALUE"""),"TISSUE")</f>
        <v>TISSUE</v>
      </c>
      <c r="B307" s="34">
        <f>IFERROR(__xludf.DUMMYFUNCTION("""COMPUTED_VALUE"""),1.0)</f>
        <v>1</v>
      </c>
      <c r="C307" s="36">
        <f>IFERROR(__xludf.DUMMYFUNCTION("""COMPUTED_VALUE"""),46150.0)</f>
        <v>46150</v>
      </c>
      <c r="D307" s="34" t="str">
        <f>IFERROR(__xludf.DUMMYFUNCTION("""COMPUTED_VALUE"""),"ILYAS")</f>
        <v>ILYAS</v>
      </c>
    </row>
    <row r="308">
      <c r="A308" s="34" t="str">
        <f>IFERROR(__xludf.DUMMYFUNCTION("""COMPUTED_VALUE"""),"BATU BATERAI A3")</f>
        <v>BATU BATERAI A3</v>
      </c>
      <c r="B308" s="34">
        <f>IFERROR(__xludf.DUMMYFUNCTION("""COMPUTED_VALUE"""),4.0)</f>
        <v>4</v>
      </c>
      <c r="C308" s="36">
        <f>IFERROR(__xludf.DUMMYFUNCTION("""COMPUTED_VALUE"""),46150.0)</f>
        <v>46150</v>
      </c>
      <c r="D308" s="34" t="str">
        <f>IFERROR(__xludf.DUMMYFUNCTION("""COMPUTED_VALUE"""),"IENDAH")</f>
        <v>IENDAH</v>
      </c>
    </row>
    <row r="309">
      <c r="A309" s="34" t="str">
        <f>IFERROR(__xludf.DUMMYFUNCTION("""COMPUTED_VALUE"""),"PLASTIK SAMPAH")</f>
        <v>PLASTIK SAMPAH</v>
      </c>
      <c r="B309" s="34">
        <f>IFERROR(__xludf.DUMMYFUNCTION("""COMPUTED_VALUE"""),1.0)</f>
        <v>1</v>
      </c>
      <c r="C309" s="36">
        <f>IFERROR(__xludf.DUMMYFUNCTION("""COMPUTED_VALUE"""),46150.0)</f>
        <v>46150</v>
      </c>
      <c r="D309" s="34" t="str">
        <f>IFERROR(__xludf.DUMMYFUNCTION("""COMPUTED_VALUE"""),"GA HERIYANTO")</f>
        <v>GA HERIYANTO</v>
      </c>
    </row>
    <row r="310">
      <c r="A310" s="34" t="str">
        <f>IFERROR(__xludf.DUMMYFUNCTION("""COMPUTED_VALUE"""),"SUSU ")</f>
        <v>SUSU </v>
      </c>
      <c r="B310" s="34">
        <f>IFERROR(__xludf.DUMMYFUNCTION("""COMPUTED_VALUE"""),48.0)</f>
        <v>48</v>
      </c>
      <c r="C310" s="36">
        <f>IFERROR(__xludf.DUMMYFUNCTION("""COMPUTED_VALUE"""),46150.0)</f>
        <v>46150</v>
      </c>
      <c r="D310" s="34" t="str">
        <f>IFERROR(__xludf.DUMMYFUNCTION("""COMPUTED_VALUE"""),"GA RIYANTI")</f>
        <v>GA RIYANTI</v>
      </c>
    </row>
    <row r="311">
      <c r="A311" s="34" t="str">
        <f>IFERROR(__xludf.DUMMYFUNCTION("""COMPUTED_VALUE"""),"TISSUE")</f>
        <v>TISSUE</v>
      </c>
      <c r="B311" s="34">
        <f>IFERROR(__xludf.DUMMYFUNCTION("""COMPUTED_VALUE"""),1.0)</f>
        <v>1</v>
      </c>
      <c r="C311" s="36">
        <f>IFERROR(__xludf.DUMMYFUNCTION("""COMPUTED_VALUE"""),46150.0)</f>
        <v>46150</v>
      </c>
      <c r="D311" s="34" t="str">
        <f>IFERROR(__xludf.DUMMYFUNCTION("""COMPUTED_VALUE"""),"GA RIYANTI")</f>
        <v>GA RIYANTI</v>
      </c>
    </row>
    <row r="312">
      <c r="A312" s="34" t="str">
        <f>IFERROR(__xludf.DUMMYFUNCTION("""COMPUTED_VALUE"""),"SABUN CUCI TANGAN")</f>
        <v>SABUN CUCI TANGAN</v>
      </c>
      <c r="B312" s="34">
        <f>IFERROR(__xludf.DUMMYFUNCTION("""COMPUTED_VALUE"""),1.0)</f>
        <v>1</v>
      </c>
      <c r="C312" s="36">
        <f>IFERROR(__xludf.DUMMYFUNCTION("""COMPUTED_VALUE"""),46150.0)</f>
        <v>46150</v>
      </c>
      <c r="D312" s="34" t="str">
        <f>IFERROR(__xludf.DUMMYFUNCTION("""COMPUTED_VALUE"""),"GA RIYANTI")</f>
        <v>GA RIYANTI</v>
      </c>
    </row>
    <row r="313">
      <c r="A313" s="34" t="str">
        <f>IFERROR(__xludf.DUMMYFUNCTION("""COMPUTED_VALUE"""),"AIR MINERAL")</f>
        <v>AIR MINERAL</v>
      </c>
      <c r="B313" s="34">
        <f>IFERROR(__xludf.DUMMYFUNCTION("""COMPUTED_VALUE"""),24.0)</f>
        <v>24</v>
      </c>
      <c r="C313" s="36">
        <f>IFERROR(__xludf.DUMMYFUNCTION("""COMPUTED_VALUE"""),46150.0)</f>
        <v>46150</v>
      </c>
      <c r="D313" s="34" t="str">
        <f>IFERROR(__xludf.DUMMYFUNCTION("""COMPUTED_VALUE"""),"GA RIYANTI")</f>
        <v>GA RIYANTI</v>
      </c>
    </row>
    <row r="314">
      <c r="A314" s="34" t="str">
        <f>IFERROR(__xludf.DUMMYFUNCTION("""COMPUTED_VALUE"""),"PULPEN HITAM")</f>
        <v>PULPEN HITAM</v>
      </c>
      <c r="B314" s="34">
        <f>IFERROR(__xludf.DUMMYFUNCTION("""COMPUTED_VALUE"""),4.0)</f>
        <v>4</v>
      </c>
      <c r="C314" s="36">
        <f>IFERROR(__xludf.DUMMYFUNCTION("""COMPUTED_VALUE"""),46151.0)</f>
        <v>46151</v>
      </c>
      <c r="D314" s="34" t="str">
        <f>IFERROR(__xludf.DUMMYFUNCTION("""COMPUTED_VALUE"""),"PRODUKSI")</f>
        <v>PRODUKSI</v>
      </c>
    </row>
    <row r="315">
      <c r="A315" s="34" t="str">
        <f>IFERROR(__xludf.DUMMYFUNCTION("""COMPUTED_VALUE"""),"DELI PENA MEJA PULPEN PEN SMILE DESK PEN STAND 0.7MM - HITAM")</f>
        <v>DELI PENA MEJA PULPEN PEN SMILE DESK PEN STAND 0.7MM - HITAM</v>
      </c>
      <c r="B315" s="34">
        <f>IFERROR(__xludf.DUMMYFUNCTION("""COMPUTED_VALUE"""),1.0)</f>
        <v>1</v>
      </c>
      <c r="C315" s="36">
        <f>IFERROR(__xludf.DUMMYFUNCTION("""COMPUTED_VALUE"""),46151.0)</f>
        <v>46151</v>
      </c>
      <c r="D315" s="34" t="str">
        <f>IFERROR(__xludf.DUMMYFUNCTION("""COMPUTED_VALUE"""),"PRODUKSI")</f>
        <v>PRODUKSI</v>
      </c>
    </row>
    <row r="316">
      <c r="A316" s="34" t="str">
        <f>IFERROR(__xludf.DUMMYFUNCTION("""COMPUTED_VALUE"""),"LATEX SARUNG TANGAN ")</f>
        <v>LATEX SARUNG TANGAN </v>
      </c>
      <c r="B316" s="34">
        <f>IFERROR(__xludf.DUMMYFUNCTION("""COMPUTED_VALUE"""),1.0)</f>
        <v>1</v>
      </c>
      <c r="C316" s="36">
        <f>IFERROR(__xludf.DUMMYFUNCTION("""COMPUTED_VALUE"""),46151.0)</f>
        <v>46151</v>
      </c>
      <c r="D316" s="34" t="str">
        <f>IFERROR(__xludf.DUMMYFUNCTION("""COMPUTED_VALUE"""),"AINI")</f>
        <v>AINI</v>
      </c>
    </row>
    <row r="317">
      <c r="A317" s="34" t="str">
        <f>IFERROR(__xludf.DUMMYFUNCTION("""COMPUTED_VALUE"""),"MASKER")</f>
        <v>MASKER</v>
      </c>
      <c r="B317" s="34">
        <f>IFERROR(__xludf.DUMMYFUNCTION("""COMPUTED_VALUE"""),1.0)</f>
        <v>1</v>
      </c>
      <c r="C317" s="36">
        <f>IFERROR(__xludf.DUMMYFUNCTION("""COMPUTED_VALUE"""),46151.0)</f>
        <v>46151</v>
      </c>
      <c r="D317" s="34" t="str">
        <f>IFERROR(__xludf.DUMMYFUNCTION("""COMPUTED_VALUE"""),"AINI")</f>
        <v>AINI</v>
      </c>
    </row>
    <row r="318">
      <c r="A318" s="34" t="str">
        <f>IFERROR(__xludf.DUMMYFUNCTION("""COMPUTED_VALUE"""),"TISSUE")</f>
        <v>TISSUE</v>
      </c>
      <c r="B318" s="34">
        <f>IFERROR(__xludf.DUMMYFUNCTION("""COMPUTED_VALUE"""),1.0)</f>
        <v>1</v>
      </c>
      <c r="C318" s="36">
        <f>IFERROR(__xludf.DUMMYFUNCTION("""COMPUTED_VALUE"""),46151.0)</f>
        <v>46151</v>
      </c>
      <c r="D318" s="34" t="str">
        <f>IFERROR(__xludf.DUMMYFUNCTION("""COMPUTED_VALUE"""),"AINI")</f>
        <v>AINI</v>
      </c>
    </row>
    <row r="319">
      <c r="A319" s="34" t="str">
        <f>IFERROR(__xludf.DUMMYFUNCTION("""COMPUTED_VALUE"""),"MASKER")</f>
        <v>MASKER</v>
      </c>
      <c r="B319" s="34">
        <f>IFERROR(__xludf.DUMMYFUNCTION("""COMPUTED_VALUE"""),1.0)</f>
        <v>1</v>
      </c>
      <c r="C319" s="36">
        <f>IFERROR(__xludf.DUMMYFUNCTION("""COMPUTED_VALUE"""),46151.0)</f>
        <v>46151</v>
      </c>
      <c r="D319" s="34" t="str">
        <f>IFERROR(__xludf.DUMMYFUNCTION("""COMPUTED_VALUE"""),"DANI")</f>
        <v>DANI</v>
      </c>
    </row>
    <row r="320">
      <c r="A320" s="34" t="str">
        <f>IFERROR(__xludf.DUMMYFUNCTION("""COMPUTED_VALUE"""),"TISSUE")</f>
        <v>TISSUE</v>
      </c>
      <c r="B320" s="34">
        <f>IFERROR(__xludf.DUMMYFUNCTION("""COMPUTED_VALUE"""),1.0)</f>
        <v>1</v>
      </c>
      <c r="C320" s="36">
        <f>IFERROR(__xludf.DUMMYFUNCTION("""COMPUTED_VALUE"""),46151.0)</f>
        <v>46151</v>
      </c>
      <c r="D320" s="34" t="str">
        <f>IFERROR(__xludf.DUMMYFUNCTION("""COMPUTED_VALUE"""),"DANI")</f>
        <v>DANI</v>
      </c>
    </row>
    <row r="321">
      <c r="A321" s="34" t="str">
        <f>IFERROR(__xludf.DUMMYFUNCTION("""COMPUTED_VALUE"""),"LATEX SARUNG TANGAN ")</f>
        <v>LATEX SARUNG TANGAN </v>
      </c>
      <c r="B321" s="34">
        <f>IFERROR(__xludf.DUMMYFUNCTION("""COMPUTED_VALUE"""),1.0)</f>
        <v>1</v>
      </c>
      <c r="C321" s="36">
        <f>IFERROR(__xludf.DUMMYFUNCTION("""COMPUTED_VALUE"""),46151.0)</f>
        <v>46151</v>
      </c>
      <c r="D321" s="34" t="str">
        <f>IFERROR(__xludf.DUMMYFUNCTION("""COMPUTED_VALUE"""),"DANI")</f>
        <v>DANI</v>
      </c>
    </row>
    <row r="322">
      <c r="A322" s="34" t="str">
        <f>IFERROR(__xludf.DUMMYFUNCTION("""COMPUTED_VALUE"""),"MASKER")</f>
        <v>MASKER</v>
      </c>
      <c r="B322" s="34">
        <f>IFERROR(__xludf.DUMMYFUNCTION("""COMPUTED_VALUE"""),1.0)</f>
        <v>1</v>
      </c>
      <c r="C322" s="36">
        <f>IFERROR(__xludf.DUMMYFUNCTION("""COMPUTED_VALUE"""),46151.0)</f>
        <v>46151</v>
      </c>
      <c r="D322" s="34" t="str">
        <f>IFERROR(__xludf.DUMMYFUNCTION("""COMPUTED_VALUE"""),"ILYAS")</f>
        <v>ILYAS</v>
      </c>
    </row>
    <row r="323">
      <c r="A323" s="34" t="str">
        <f>IFERROR(__xludf.DUMMYFUNCTION("""COMPUTED_VALUE"""),"LATEX SARUNG TANGAN ")</f>
        <v>LATEX SARUNG TANGAN </v>
      </c>
      <c r="B323" s="34">
        <f>IFERROR(__xludf.DUMMYFUNCTION("""COMPUTED_VALUE"""),1.0)</f>
        <v>1</v>
      </c>
      <c r="C323" s="36">
        <f>IFERROR(__xludf.DUMMYFUNCTION("""COMPUTED_VALUE"""),46151.0)</f>
        <v>46151</v>
      </c>
      <c r="D323" s="34" t="str">
        <f>IFERROR(__xludf.DUMMYFUNCTION("""COMPUTED_VALUE"""),"ILYAS")</f>
        <v>ILYAS</v>
      </c>
    </row>
    <row r="324">
      <c r="A324" s="34" t="str">
        <f>IFERROR(__xludf.DUMMYFUNCTION("""COMPUTED_VALUE"""),"SPIDOL HITAM")</f>
        <v>SPIDOL HITAM</v>
      </c>
      <c r="B324" s="34">
        <f>IFERROR(__xludf.DUMMYFUNCTION("""COMPUTED_VALUE"""),1.0)</f>
        <v>1</v>
      </c>
      <c r="C324" s="36">
        <f>IFERROR(__xludf.DUMMYFUNCTION("""COMPUTED_VALUE"""),46153.0)</f>
        <v>46153</v>
      </c>
      <c r="D324" s="34" t="str">
        <f>IFERROR(__xludf.DUMMYFUNCTION("""COMPUTED_VALUE"""),"AMIREL")</f>
        <v>AMIREL</v>
      </c>
    </row>
    <row r="325">
      <c r="A325" s="34" t="str">
        <f>IFERROR(__xludf.DUMMYFUNCTION("""COMPUTED_VALUE"""),"PULPEN HITAM")</f>
        <v>PULPEN HITAM</v>
      </c>
      <c r="B325" s="34">
        <f>IFERROR(__xludf.DUMMYFUNCTION("""COMPUTED_VALUE"""),1.0)</f>
        <v>1</v>
      </c>
      <c r="C325" s="36">
        <f>IFERROR(__xludf.DUMMYFUNCTION("""COMPUTED_VALUE"""),46153.0)</f>
        <v>46153</v>
      </c>
      <c r="D325" s="34" t="str">
        <f>IFERROR(__xludf.DUMMYFUNCTION("""COMPUTED_VALUE"""),"AMIREL")</f>
        <v>AMIREL</v>
      </c>
    </row>
    <row r="326">
      <c r="A326" s="34" t="str">
        <f>IFERROR(__xludf.DUMMYFUNCTION("""COMPUTED_VALUE"""),"DOUBLE TAPE PUTIH")</f>
        <v>DOUBLE TAPE PUTIH</v>
      </c>
      <c r="B326" s="34">
        <f>IFERROR(__xludf.DUMMYFUNCTION("""COMPUTED_VALUE"""),1.0)</f>
        <v>1</v>
      </c>
      <c r="C326" s="36">
        <f>IFERROR(__xludf.DUMMYFUNCTION("""COMPUTED_VALUE"""),46153.0)</f>
        <v>46153</v>
      </c>
      <c r="D326" s="34" t="str">
        <f>IFERROR(__xludf.DUMMYFUNCTION("""COMPUTED_VALUE"""),"AMIREL")</f>
        <v>AMIREL</v>
      </c>
    </row>
    <row r="327">
      <c r="A327" s="34" t="str">
        <f>IFERROR(__xludf.DUMMYFUNCTION("""COMPUTED_VALUE"""),"DOUBLE TAPE PUTIH")</f>
        <v>DOUBLE TAPE PUTIH</v>
      </c>
      <c r="B327" s="34">
        <f>IFERROR(__xludf.DUMMYFUNCTION("""COMPUTED_VALUE"""),1.0)</f>
        <v>1</v>
      </c>
      <c r="C327" s="36">
        <f>IFERROR(__xludf.DUMMYFUNCTION("""COMPUTED_VALUE"""),46153.0)</f>
        <v>46153</v>
      </c>
      <c r="D327" s="34" t="str">
        <f>IFERROR(__xludf.DUMMYFUNCTION("""COMPUTED_VALUE"""),"IENDAH")</f>
        <v>IENDAH</v>
      </c>
    </row>
    <row r="328">
      <c r="A328" s="34" t="str">
        <f>IFERROR(__xludf.DUMMYFUNCTION("""COMPUTED_VALUE"""),"MASKER")</f>
        <v>MASKER</v>
      </c>
      <c r="B328" s="34">
        <f>IFERROR(__xludf.DUMMYFUNCTION("""COMPUTED_VALUE"""),1.0)</f>
        <v>1</v>
      </c>
      <c r="C328" s="36">
        <f>IFERROR(__xludf.DUMMYFUNCTION("""COMPUTED_VALUE"""),46153.0)</f>
        <v>46153</v>
      </c>
      <c r="D328" s="34" t="str">
        <f>IFERROR(__xludf.DUMMYFUNCTION("""COMPUTED_VALUE"""),"FARHAN")</f>
        <v>FARHAN</v>
      </c>
    </row>
    <row r="329">
      <c r="A329" s="34" t="str">
        <f>IFERROR(__xludf.DUMMYFUNCTION("""COMPUTED_VALUE"""),"MASKER")</f>
        <v>MASKER</v>
      </c>
      <c r="B329" s="34">
        <f>IFERROR(__xludf.DUMMYFUNCTION("""COMPUTED_VALUE"""),1.0)</f>
        <v>1</v>
      </c>
      <c r="C329" s="36">
        <f>IFERROR(__xludf.DUMMYFUNCTION("""COMPUTED_VALUE"""),46153.0)</f>
        <v>46153</v>
      </c>
      <c r="D329" s="34" t="str">
        <f>IFERROR(__xludf.DUMMYFUNCTION("""COMPUTED_VALUE"""),"FARHAN")</f>
        <v>FARHAN</v>
      </c>
    </row>
    <row r="330">
      <c r="A330" s="34" t="str">
        <f>IFERROR(__xludf.DUMMYFUNCTION("""COMPUTED_VALUE"""),"PLASTIK SAMPAH")</f>
        <v>PLASTIK SAMPAH</v>
      </c>
      <c r="B330" s="34">
        <f>IFERROR(__xludf.DUMMYFUNCTION("""COMPUTED_VALUE"""),1.0)</f>
        <v>1</v>
      </c>
      <c r="C330" s="36">
        <f>IFERROR(__xludf.DUMMYFUNCTION("""COMPUTED_VALUE"""),46153.0)</f>
        <v>46153</v>
      </c>
      <c r="D330" s="34" t="str">
        <f>IFERROR(__xludf.DUMMYFUNCTION("""COMPUTED_VALUE"""),"GA HERIYANTO")</f>
        <v>GA HERIYANTO</v>
      </c>
    </row>
    <row r="331">
      <c r="A331" s="34" t="str">
        <f>IFERROR(__xludf.DUMMYFUNCTION("""COMPUTED_VALUE"""),"AIR MINERAL")</f>
        <v>AIR MINERAL</v>
      </c>
      <c r="B331" s="34">
        <f>IFERROR(__xludf.DUMMYFUNCTION("""COMPUTED_VALUE"""),24.0)</f>
        <v>24</v>
      </c>
      <c r="C331" s="36">
        <f>IFERROR(__xludf.DUMMYFUNCTION("""COMPUTED_VALUE"""),46153.0)</f>
        <v>46153</v>
      </c>
      <c r="D331" s="34" t="str">
        <f>IFERROR(__xludf.DUMMYFUNCTION("""COMPUTED_VALUE"""),"PANTRY")</f>
        <v>PANTRY</v>
      </c>
    </row>
    <row r="332">
      <c r="A332" s="34" t="str">
        <f>IFERROR(__xludf.DUMMYFUNCTION("""COMPUTED_VALUE"""),"GLADE ")</f>
        <v>GLADE </v>
      </c>
      <c r="B332" s="34">
        <f>IFERROR(__xludf.DUMMYFUNCTION("""COMPUTED_VALUE"""),1.0)</f>
        <v>1</v>
      </c>
      <c r="C332" s="36">
        <f>IFERROR(__xludf.DUMMYFUNCTION("""COMPUTED_VALUE"""),46153.0)</f>
        <v>46153</v>
      </c>
      <c r="D332" s="34" t="str">
        <f>IFERROR(__xludf.DUMMYFUNCTION("""COMPUTED_VALUE"""),"GA HERIYANTO")</f>
        <v>GA HERIYANTO</v>
      </c>
    </row>
    <row r="333">
      <c r="A333" s="34" t="str">
        <f>IFERROR(__xludf.DUMMYFUNCTION("""COMPUTED_VALUE"""),"SABUN LANTAI ")</f>
        <v>SABUN LANTAI </v>
      </c>
      <c r="B333" s="34">
        <f>IFERROR(__xludf.DUMMYFUNCTION("""COMPUTED_VALUE"""),1.0)</f>
        <v>1</v>
      </c>
      <c r="C333" s="36">
        <f>IFERROR(__xludf.DUMMYFUNCTION("""COMPUTED_VALUE"""),46153.0)</f>
        <v>46153</v>
      </c>
      <c r="D333" s="34" t="str">
        <f>IFERROR(__xludf.DUMMYFUNCTION("""COMPUTED_VALUE"""),"GA HERIYANTO")</f>
        <v>GA HERIYANTO</v>
      </c>
    </row>
    <row r="334">
      <c r="A334" s="34" t="str">
        <f>IFERROR(__xludf.DUMMYFUNCTION("""COMPUTED_VALUE"""),"KUNCI SLOT KAMAR MANDI")</f>
        <v>KUNCI SLOT KAMAR MANDI</v>
      </c>
      <c r="B334" s="34">
        <f>IFERROR(__xludf.DUMMYFUNCTION("""COMPUTED_VALUE"""),1.0)</f>
        <v>1</v>
      </c>
      <c r="C334" s="36">
        <f>IFERROR(__xludf.DUMMYFUNCTION("""COMPUTED_VALUE"""),46153.0)</f>
        <v>46153</v>
      </c>
      <c r="D334" s="34" t="str">
        <f>IFERROR(__xludf.DUMMYFUNCTION("""COMPUTED_VALUE"""),"FAREL")</f>
        <v>FAREL</v>
      </c>
    </row>
    <row r="335">
      <c r="A335" s="34" t="str">
        <f>IFERROR(__xludf.DUMMYFUNCTION("""COMPUTED_VALUE"""),"TISSUE")</f>
        <v>TISSUE</v>
      </c>
      <c r="B335" s="34">
        <f>IFERROR(__xludf.DUMMYFUNCTION("""COMPUTED_VALUE"""),1.0)</f>
        <v>1</v>
      </c>
      <c r="C335" s="36">
        <f>IFERROR(__xludf.DUMMYFUNCTION("""COMPUTED_VALUE"""),46153.0)</f>
        <v>46153</v>
      </c>
      <c r="D335" s="34" t="str">
        <f>IFERROR(__xludf.DUMMYFUNCTION("""COMPUTED_VALUE"""),"DANI")</f>
        <v>DANI</v>
      </c>
    </row>
    <row r="336">
      <c r="A336" s="34" t="str">
        <f>IFERROR(__xludf.DUMMYFUNCTION("""COMPUTED_VALUE"""),"LATEX SARUNG TANGAN ")</f>
        <v>LATEX SARUNG TANGAN </v>
      </c>
      <c r="B336" s="34">
        <f>IFERROR(__xludf.DUMMYFUNCTION("""COMPUTED_VALUE"""),1.0)</f>
        <v>1</v>
      </c>
      <c r="C336" s="36">
        <f>IFERROR(__xludf.DUMMYFUNCTION("""COMPUTED_VALUE"""),46153.0)</f>
        <v>46153</v>
      </c>
      <c r="D336" s="34" t="str">
        <f>IFERROR(__xludf.DUMMYFUNCTION("""COMPUTED_VALUE"""),"DANI")</f>
        <v>DANI</v>
      </c>
    </row>
    <row r="337">
      <c r="A337" s="34" t="str">
        <f>IFERROR(__xludf.DUMMYFUNCTION("""COMPUTED_VALUE"""),"MASKER")</f>
        <v>MASKER</v>
      </c>
      <c r="B337" s="34">
        <f>IFERROR(__xludf.DUMMYFUNCTION("""COMPUTED_VALUE"""),1.0)</f>
        <v>1</v>
      </c>
      <c r="C337" s="36">
        <f>IFERROR(__xludf.DUMMYFUNCTION("""COMPUTED_VALUE"""),46153.0)</f>
        <v>46153</v>
      </c>
      <c r="D337" s="34" t="str">
        <f>IFERROR(__xludf.DUMMYFUNCTION("""COMPUTED_VALUE"""),"DANI")</f>
        <v>DANI</v>
      </c>
    </row>
    <row r="338">
      <c r="A338" s="34" t="str">
        <f>IFERROR(__xludf.DUMMYFUNCTION("""COMPUTED_VALUE"""),"SALONPAS")</f>
        <v>SALONPAS</v>
      </c>
      <c r="B338" s="34">
        <f>IFERROR(__xludf.DUMMYFUNCTION("""COMPUTED_VALUE"""),1.0)</f>
        <v>1</v>
      </c>
      <c r="C338" s="36">
        <f>IFERROR(__xludf.DUMMYFUNCTION("""COMPUTED_VALUE"""),46153.0)</f>
        <v>46153</v>
      </c>
      <c r="D338" s="34" t="str">
        <f>IFERROR(__xludf.DUMMYFUNCTION("""COMPUTED_VALUE"""),"FITA")</f>
        <v>FITA</v>
      </c>
    </row>
    <row r="339">
      <c r="A339" s="34" t="str">
        <f>IFERROR(__xludf.DUMMYFUNCTION("""COMPUTED_VALUE"""),"PARACETAMOL")</f>
        <v>PARACETAMOL</v>
      </c>
      <c r="B339" s="34">
        <f>IFERROR(__xludf.DUMMYFUNCTION("""COMPUTED_VALUE"""),10.0)</f>
        <v>10</v>
      </c>
      <c r="C339" s="36">
        <f>IFERROR(__xludf.DUMMYFUNCTION("""COMPUTED_VALUE"""),46153.0)</f>
        <v>46153</v>
      </c>
      <c r="D339" s="34" t="str">
        <f>IFERROR(__xludf.DUMMYFUNCTION("""COMPUTED_VALUE"""),"FITA")</f>
        <v>FITA</v>
      </c>
    </row>
    <row r="340">
      <c r="A340" s="34" t="str">
        <f>IFERROR(__xludf.DUMMYFUNCTION("""COMPUTED_VALUE"""),"MINYAK KAYU PUTIH")</f>
        <v>MINYAK KAYU PUTIH</v>
      </c>
      <c r="B340" s="34">
        <f>IFERROR(__xludf.DUMMYFUNCTION("""COMPUTED_VALUE"""),1.0)</f>
        <v>1</v>
      </c>
      <c r="C340" s="36">
        <f>IFERROR(__xludf.DUMMYFUNCTION("""COMPUTED_VALUE"""),46153.0)</f>
        <v>46153</v>
      </c>
      <c r="D340" s="34" t="str">
        <f>IFERROR(__xludf.DUMMYFUNCTION("""COMPUTED_VALUE"""),"FITA")</f>
        <v>FITA</v>
      </c>
    </row>
    <row r="341">
      <c r="A341" s="34" t="str">
        <f>IFERROR(__xludf.DUMMYFUNCTION("""COMPUTED_VALUE"""),"ALKOHOL 70 % 100ML")</f>
        <v>ALKOHOL 70 % 100ML</v>
      </c>
      <c r="B341" s="34">
        <f>IFERROR(__xludf.DUMMYFUNCTION("""COMPUTED_VALUE"""),1.0)</f>
        <v>1</v>
      </c>
      <c r="C341" s="36">
        <f>IFERROR(__xludf.DUMMYFUNCTION("""COMPUTED_VALUE"""),46153.0)</f>
        <v>46153</v>
      </c>
      <c r="D341" s="34" t="str">
        <f>IFERROR(__xludf.DUMMYFUNCTION("""COMPUTED_VALUE"""),"FITA")</f>
        <v>FITA</v>
      </c>
    </row>
    <row r="342">
      <c r="A342" s="34" t="str">
        <f>IFERROR(__xludf.DUMMYFUNCTION("""COMPUTED_VALUE"""),"OBAT MATA Y-RINS")</f>
        <v>OBAT MATA Y-RINS</v>
      </c>
      <c r="B342" s="34">
        <f>IFERROR(__xludf.DUMMYFUNCTION("""COMPUTED_VALUE"""),1.0)</f>
        <v>1</v>
      </c>
      <c r="C342" s="36">
        <f>IFERROR(__xludf.DUMMYFUNCTION("""COMPUTED_VALUE"""),46153.0)</f>
        <v>46153</v>
      </c>
      <c r="D342" s="34" t="str">
        <f>IFERROR(__xludf.DUMMYFUNCTION("""COMPUTED_VALUE"""),"FITA")</f>
        <v>FITA</v>
      </c>
    </row>
    <row r="343">
      <c r="A343" s="34" t="str">
        <f>IFERROR(__xludf.DUMMYFUNCTION("""COMPUTED_VALUE"""),"INSTO")</f>
        <v>INSTO</v>
      </c>
      <c r="B343" s="34">
        <f>IFERROR(__xludf.DUMMYFUNCTION("""COMPUTED_VALUE"""),1.0)</f>
        <v>1</v>
      </c>
      <c r="C343" s="36">
        <f>IFERROR(__xludf.DUMMYFUNCTION("""COMPUTED_VALUE"""),46153.0)</f>
        <v>46153</v>
      </c>
      <c r="D343" s="34" t="str">
        <f>IFERROR(__xludf.DUMMYFUNCTION("""COMPUTED_VALUE"""),"FITA")</f>
        <v>FITA</v>
      </c>
    </row>
    <row r="344">
      <c r="A344" s="34" t="str">
        <f>IFERROR(__xludf.DUMMYFUNCTION("""COMPUTED_VALUE"""),"SHEET PROTECTOR ")</f>
        <v>SHEET PROTECTOR </v>
      </c>
      <c r="B344" s="34">
        <f>IFERROR(__xludf.DUMMYFUNCTION("""COMPUTED_VALUE"""),1.0)</f>
        <v>1</v>
      </c>
      <c r="C344" s="36">
        <f>IFERROR(__xludf.DUMMYFUNCTION("""COMPUTED_VALUE"""),46153.0)</f>
        <v>46153</v>
      </c>
      <c r="D344" s="34" t="str">
        <f>IFERROR(__xludf.DUMMYFUNCTION("""COMPUTED_VALUE"""),"FITA")</f>
        <v>FITA</v>
      </c>
    </row>
    <row r="345">
      <c r="A345" s="34" t="str">
        <f>IFERROR(__xludf.DUMMYFUNCTION("""COMPUTED_VALUE"""),"BANTEX ")</f>
        <v>BANTEX </v>
      </c>
      <c r="B345" s="34">
        <f>IFERROR(__xludf.DUMMYFUNCTION("""COMPUTED_VALUE"""),4.0)</f>
        <v>4</v>
      </c>
      <c r="C345" s="36">
        <f>IFERROR(__xludf.DUMMYFUNCTION("""COMPUTED_VALUE"""),46153.0)</f>
        <v>46153</v>
      </c>
      <c r="D345" s="34" t="str">
        <f>IFERROR(__xludf.DUMMYFUNCTION("""COMPUTED_VALUE"""),"RND")</f>
        <v>RND</v>
      </c>
    </row>
    <row r="346">
      <c r="A346" s="34" t="str">
        <f>IFERROR(__xludf.DUMMYFUNCTION("""COMPUTED_VALUE"""),"BATU BATERAI A3")</f>
        <v>BATU BATERAI A3</v>
      </c>
      <c r="B346" s="34">
        <f>IFERROR(__xludf.DUMMYFUNCTION("""COMPUTED_VALUE"""),1.0)</f>
        <v>1</v>
      </c>
      <c r="C346" s="36">
        <f>IFERROR(__xludf.DUMMYFUNCTION("""COMPUTED_VALUE"""),46153.0)</f>
        <v>46153</v>
      </c>
      <c r="D346" s="34" t="str">
        <f>IFERROR(__xludf.DUMMYFUNCTION("""COMPUTED_VALUE"""),"RND")</f>
        <v>RND</v>
      </c>
    </row>
    <row r="347">
      <c r="A347" s="34" t="str">
        <f>IFERROR(__xludf.DUMMYFUNCTION("""COMPUTED_VALUE"""),"LABEL NIIMBOT D11 UKURAN 12 X 22 MM ")</f>
        <v>LABEL NIIMBOT D11 UKURAN 12 X 22 MM </v>
      </c>
      <c r="B347" s="34">
        <f>IFERROR(__xludf.DUMMYFUNCTION("""COMPUTED_VALUE"""),1.0)</f>
        <v>1</v>
      </c>
      <c r="C347" s="36">
        <f>IFERROR(__xludf.DUMMYFUNCTION("""COMPUTED_VALUE"""),46153.0)</f>
        <v>46153</v>
      </c>
      <c r="D347" s="34" t="str">
        <f>IFERROR(__xludf.DUMMYFUNCTION("""COMPUTED_VALUE"""),"RND")</f>
        <v>RND</v>
      </c>
    </row>
    <row r="348">
      <c r="A348" s="34" t="str">
        <f>IFERROR(__xludf.DUMMYFUNCTION("""COMPUTED_VALUE"""),"BOX FILE BINDEX")</f>
        <v>BOX FILE BINDEX</v>
      </c>
      <c r="B348" s="34">
        <f>IFERROR(__xludf.DUMMYFUNCTION("""COMPUTED_VALUE"""),1.0)</f>
        <v>1</v>
      </c>
      <c r="C348" s="36">
        <f>IFERROR(__xludf.DUMMYFUNCTION("""COMPUTED_VALUE"""),46153.0)</f>
        <v>46153</v>
      </c>
      <c r="D348" s="34" t="str">
        <f>IFERROR(__xludf.DUMMYFUNCTION("""COMPUTED_VALUE"""),"RND")</f>
        <v>RND</v>
      </c>
    </row>
    <row r="349">
      <c r="A349" s="34" t="str">
        <f>IFERROR(__xludf.DUMMYFUNCTION("""COMPUTED_VALUE"""),"SHEET PROTECTOR ")</f>
        <v>SHEET PROTECTOR </v>
      </c>
      <c r="B349" s="34">
        <f>IFERROR(__xludf.DUMMYFUNCTION("""COMPUTED_VALUE"""),3.0)</f>
        <v>3</v>
      </c>
      <c r="C349" s="36">
        <f>IFERROR(__xludf.DUMMYFUNCTION("""COMPUTED_VALUE"""),46153.0)</f>
        <v>46153</v>
      </c>
      <c r="D349" s="34" t="str">
        <f>IFERROR(__xludf.DUMMYFUNCTION("""COMPUTED_VALUE"""),"PPIC")</f>
        <v>PPIC</v>
      </c>
    </row>
    <row r="350">
      <c r="A350" s="34" t="str">
        <f>IFERROR(__xludf.DUMMYFUNCTION("""COMPUTED_VALUE"""),"BANTEX ")</f>
        <v>BANTEX </v>
      </c>
      <c r="B350" s="34">
        <f>IFERROR(__xludf.DUMMYFUNCTION("""COMPUTED_VALUE"""),3.0)</f>
        <v>3</v>
      </c>
      <c r="C350" s="36">
        <f>IFERROR(__xludf.DUMMYFUNCTION("""COMPUTED_VALUE"""),46153.0)</f>
        <v>46153</v>
      </c>
      <c r="D350" s="34" t="str">
        <f>IFERROR(__xludf.DUMMYFUNCTION("""COMPUTED_VALUE"""),"PPIC")</f>
        <v>PPIC</v>
      </c>
    </row>
    <row r="351">
      <c r="A351" s="34" t="str">
        <f>IFERROR(__xludf.DUMMYFUNCTION("""COMPUTED_VALUE"""),"MAP PLASTIK BENING")</f>
        <v>MAP PLASTIK BENING</v>
      </c>
      <c r="B351" s="34">
        <f>IFERROR(__xludf.DUMMYFUNCTION("""COMPUTED_VALUE"""),3.0)</f>
        <v>3</v>
      </c>
      <c r="C351" s="36">
        <f>IFERROR(__xludf.DUMMYFUNCTION("""COMPUTED_VALUE"""),46153.0)</f>
        <v>46153</v>
      </c>
      <c r="D351" s="34" t="str">
        <f>IFERROR(__xludf.DUMMYFUNCTION("""COMPUTED_VALUE"""),"PPIC")</f>
        <v>PPIC</v>
      </c>
    </row>
    <row r="352">
      <c r="A352" s="34" t="str">
        <f>IFERROR(__xludf.DUMMYFUNCTION("""COMPUTED_VALUE"""),"GUNTING")</f>
        <v>GUNTING</v>
      </c>
      <c r="B352" s="34">
        <f>IFERROR(__xludf.DUMMYFUNCTION("""COMPUTED_VALUE"""),1.0)</f>
        <v>1</v>
      </c>
      <c r="C352" s="36">
        <f>IFERROR(__xludf.DUMMYFUNCTION("""COMPUTED_VALUE"""),46153.0)</f>
        <v>46153</v>
      </c>
      <c r="D352" s="34" t="str">
        <f>IFERROR(__xludf.DUMMYFUNCTION("""COMPUTED_VALUE"""),"PPIC")</f>
        <v>PPIC</v>
      </c>
    </row>
    <row r="353">
      <c r="A353" s="34" t="str">
        <f>IFERROR(__xludf.DUMMYFUNCTION("""COMPUTED_VALUE"""),"ISI CUTTER")</f>
        <v>ISI CUTTER</v>
      </c>
      <c r="B353" s="34">
        <f>IFERROR(__xludf.DUMMYFUNCTION("""COMPUTED_VALUE"""),1.0)</f>
        <v>1</v>
      </c>
      <c r="C353" s="36">
        <f>IFERROR(__xludf.DUMMYFUNCTION("""COMPUTED_VALUE"""),46153.0)</f>
        <v>46153</v>
      </c>
      <c r="D353" s="34" t="str">
        <f>IFERROR(__xludf.DUMMYFUNCTION("""COMPUTED_VALUE"""),"PPIC")</f>
        <v>PPIC</v>
      </c>
    </row>
    <row r="354">
      <c r="A354" s="34" t="str">
        <f>IFERROR(__xludf.DUMMYFUNCTION("""COMPUTED_VALUE"""),"TISSUE")</f>
        <v>TISSUE</v>
      </c>
      <c r="B354" s="34">
        <f>IFERROR(__xludf.DUMMYFUNCTION("""COMPUTED_VALUE"""),1.0)</f>
        <v>1</v>
      </c>
      <c r="C354" s="36">
        <f>IFERROR(__xludf.DUMMYFUNCTION("""COMPUTED_VALUE"""),46153.0)</f>
        <v>46153</v>
      </c>
      <c r="D354" s="34" t="str">
        <f>IFERROR(__xludf.DUMMYFUNCTION("""COMPUTED_VALUE"""),"FAREL")</f>
        <v>FAREL</v>
      </c>
    </row>
    <row r="355">
      <c r="A355" s="34" t="str">
        <f>IFERROR(__xludf.DUMMYFUNCTION("""COMPUTED_VALUE"""),"KUAS UKURAN 2 INC")</f>
        <v>KUAS UKURAN 2 INC</v>
      </c>
      <c r="B355" s="34">
        <f>IFERROR(__xludf.DUMMYFUNCTION("""COMPUTED_VALUE"""),1.0)</f>
        <v>1</v>
      </c>
      <c r="C355" s="36">
        <f>IFERROR(__xludf.DUMMYFUNCTION("""COMPUTED_VALUE"""),46153.0)</f>
        <v>46153</v>
      </c>
      <c r="D355" s="34" t="str">
        <f>IFERROR(__xludf.DUMMYFUNCTION("""COMPUTED_VALUE"""),"GA HERIYANTO")</f>
        <v>GA HERIYANTO</v>
      </c>
    </row>
    <row r="356">
      <c r="A356" s="34" t="str">
        <f>IFERROR(__xludf.DUMMYFUNCTION("""COMPUTED_VALUE"""),"SABUN CUCI TANGAN")</f>
        <v>SABUN CUCI TANGAN</v>
      </c>
      <c r="B356" s="34">
        <f>IFERROR(__xludf.DUMMYFUNCTION("""COMPUTED_VALUE"""),1.0)</f>
        <v>1</v>
      </c>
      <c r="C356" s="36">
        <f>IFERROR(__xludf.DUMMYFUNCTION("""COMPUTED_VALUE"""),46153.0)</f>
        <v>46153</v>
      </c>
      <c r="D356" s="34" t="str">
        <f>IFERROR(__xludf.DUMMYFUNCTION("""COMPUTED_VALUE"""),"FAREL")</f>
        <v>FAREL</v>
      </c>
    </row>
    <row r="357">
      <c r="A357" s="34" t="str">
        <f>IFERROR(__xludf.DUMMYFUNCTION("""COMPUTED_VALUE"""),"HAIRNET DISPOSABLE")</f>
        <v>HAIRNET DISPOSABLE</v>
      </c>
      <c r="B357" s="34">
        <f>IFERROR(__xludf.DUMMYFUNCTION("""COMPUTED_VALUE"""),1.0)</f>
        <v>1</v>
      </c>
      <c r="C357" s="36">
        <f>IFERROR(__xludf.DUMMYFUNCTION("""COMPUTED_VALUE"""),46153.0)</f>
        <v>46153</v>
      </c>
      <c r="D357" s="34" t="str">
        <f>IFERROR(__xludf.DUMMYFUNCTION("""COMPUTED_VALUE"""),"MAINTENANCE")</f>
        <v>MAINTENANCE</v>
      </c>
    </row>
    <row r="358">
      <c r="A358" s="34" t="str">
        <f>IFERROR(__xludf.DUMMYFUNCTION("""COMPUTED_VALUE"""),"SUSU ")</f>
        <v>SUSU </v>
      </c>
      <c r="B358" s="34">
        <f>IFERROR(__xludf.DUMMYFUNCTION("""COMPUTED_VALUE"""),48.0)</f>
        <v>48</v>
      </c>
      <c r="C358" s="36">
        <f>IFERROR(__xludf.DUMMYFUNCTION("""COMPUTED_VALUE"""),46154.0)</f>
        <v>46154</v>
      </c>
      <c r="D358" s="34" t="str">
        <f>IFERROR(__xludf.DUMMYFUNCTION("""COMPUTED_VALUE"""),"FAREL")</f>
        <v>FAREL</v>
      </c>
    </row>
    <row r="359">
      <c r="A359" s="34" t="str">
        <f>IFERROR(__xludf.DUMMYFUNCTION("""COMPUTED_VALUE"""),"AIR MINERAL")</f>
        <v>AIR MINERAL</v>
      </c>
      <c r="B359" s="34">
        <f>IFERROR(__xludf.DUMMYFUNCTION("""COMPUTED_VALUE"""),24.0)</f>
        <v>24</v>
      </c>
      <c r="C359" s="36">
        <f>IFERROR(__xludf.DUMMYFUNCTION("""COMPUTED_VALUE"""),46154.0)</f>
        <v>46154</v>
      </c>
      <c r="D359" s="34" t="str">
        <f>IFERROR(__xludf.DUMMYFUNCTION("""COMPUTED_VALUE"""),"FAREL")</f>
        <v>FAREL</v>
      </c>
    </row>
    <row r="360">
      <c r="A360" s="34" t="str">
        <f>IFERROR(__xludf.DUMMYFUNCTION("""COMPUTED_VALUE"""),"TEH BOTOL")</f>
        <v>TEH BOTOL</v>
      </c>
      <c r="B360" s="34">
        <f>IFERROR(__xludf.DUMMYFUNCTION("""COMPUTED_VALUE"""),24.0)</f>
        <v>24</v>
      </c>
      <c r="C360" s="36">
        <f>IFERROR(__xludf.DUMMYFUNCTION("""COMPUTED_VALUE"""),46154.0)</f>
        <v>46154</v>
      </c>
      <c r="D360" s="34" t="str">
        <f>IFERROR(__xludf.DUMMYFUNCTION("""COMPUTED_VALUE"""),"FAREL")</f>
        <v>FAREL</v>
      </c>
    </row>
    <row r="361">
      <c r="A361" s="34" t="str">
        <f>IFERROR(__xludf.DUMMYFUNCTION("""COMPUTED_VALUE"""),"HAIRNET DISPOSABLE")</f>
        <v>HAIRNET DISPOSABLE</v>
      </c>
      <c r="B361" s="34">
        <f>IFERROR(__xludf.DUMMYFUNCTION("""COMPUTED_VALUE"""),1.0)</f>
        <v>1</v>
      </c>
      <c r="C361" s="36">
        <f>IFERROR(__xludf.DUMMYFUNCTION("""COMPUTED_VALUE"""),46154.0)</f>
        <v>46154</v>
      </c>
      <c r="D361" s="34" t="str">
        <f>IFERROR(__xludf.DUMMYFUNCTION("""COMPUTED_VALUE"""),"PRODUKSI")</f>
        <v>PRODUKSI</v>
      </c>
    </row>
    <row r="362">
      <c r="A362" s="34" t="str">
        <f>IFERROR(__xludf.DUMMYFUNCTION("""COMPUTED_VALUE"""),"MASKER")</f>
        <v>MASKER</v>
      </c>
      <c r="B362" s="34">
        <f>IFERROR(__xludf.DUMMYFUNCTION("""COMPUTED_VALUE"""),1.0)</f>
        <v>1</v>
      </c>
      <c r="C362" s="36">
        <f>IFERROR(__xludf.DUMMYFUNCTION("""COMPUTED_VALUE"""),46154.0)</f>
        <v>46154</v>
      </c>
      <c r="D362" s="34" t="str">
        <f>IFERROR(__xludf.DUMMYFUNCTION("""COMPUTED_VALUE"""),"PRODUKSI")</f>
        <v>PRODUKSI</v>
      </c>
    </row>
    <row r="363">
      <c r="A363" s="34" t="str">
        <f>IFERROR(__xludf.DUMMYFUNCTION("""COMPUTED_VALUE"""),"MASKER")</f>
        <v>MASKER</v>
      </c>
      <c r="B363" s="34">
        <f>IFERROR(__xludf.DUMMYFUNCTION("""COMPUTED_VALUE"""),1.0)</f>
        <v>1</v>
      </c>
      <c r="C363" s="36">
        <f>IFERROR(__xludf.DUMMYFUNCTION("""COMPUTED_VALUE"""),46154.0)</f>
        <v>46154</v>
      </c>
      <c r="D363" s="34" t="str">
        <f>IFERROR(__xludf.DUMMYFUNCTION("""COMPUTED_VALUE"""),"PRODUKSI")</f>
        <v>PRODUKSI</v>
      </c>
    </row>
    <row r="364">
      <c r="A364" s="34" t="str">
        <f>IFERROR(__xludf.DUMMYFUNCTION("""COMPUTED_VALUE"""),"LATEX SARUNG TANGAN ")</f>
        <v>LATEX SARUNG TANGAN </v>
      </c>
      <c r="B364" s="34">
        <f>IFERROR(__xludf.DUMMYFUNCTION("""COMPUTED_VALUE"""),1.0)</f>
        <v>1</v>
      </c>
      <c r="C364" s="36">
        <f>IFERROR(__xludf.DUMMYFUNCTION("""COMPUTED_VALUE"""),46154.0)</f>
        <v>46154</v>
      </c>
      <c r="D364" s="34" t="str">
        <f>IFERROR(__xludf.DUMMYFUNCTION("""COMPUTED_VALUE"""),"AINI")</f>
        <v>AINI</v>
      </c>
    </row>
    <row r="365">
      <c r="A365" s="34" t="str">
        <f>IFERROR(__xludf.DUMMYFUNCTION("""COMPUTED_VALUE"""),"MASKER")</f>
        <v>MASKER</v>
      </c>
      <c r="B365" s="34">
        <f>IFERROR(__xludf.DUMMYFUNCTION("""COMPUTED_VALUE"""),1.0)</f>
        <v>1</v>
      </c>
      <c r="C365" s="36">
        <f>IFERROR(__xludf.DUMMYFUNCTION("""COMPUTED_VALUE"""),46154.0)</f>
        <v>46154</v>
      </c>
      <c r="D365" s="34" t="str">
        <f>IFERROR(__xludf.DUMMYFUNCTION("""COMPUTED_VALUE"""),"FAREL")</f>
        <v>FAREL</v>
      </c>
    </row>
    <row r="366">
      <c r="A366" s="34" t="str">
        <f>IFERROR(__xludf.DUMMYFUNCTION("""COMPUTED_VALUE"""),"HAIRNET DISPOSABLE")</f>
        <v>HAIRNET DISPOSABLE</v>
      </c>
      <c r="B366" s="34">
        <f>IFERROR(__xludf.DUMMYFUNCTION("""COMPUTED_VALUE"""),1.0)</f>
        <v>1</v>
      </c>
      <c r="C366" s="36">
        <f>IFERROR(__xludf.DUMMYFUNCTION("""COMPUTED_VALUE"""),46155.0)</f>
        <v>46155</v>
      </c>
      <c r="D366" s="34" t="str">
        <f>IFERROR(__xludf.DUMMYFUNCTION("""COMPUTED_VALUE"""),"PAK PUPUT")</f>
        <v>PAK PUPUT</v>
      </c>
    </row>
    <row r="367">
      <c r="A367" s="34" t="str">
        <f>IFERROR(__xludf.DUMMYFUNCTION("""COMPUTED_VALUE"""),"HAIRNET DISPOSABLE")</f>
        <v>HAIRNET DISPOSABLE</v>
      </c>
      <c r="B367" s="34">
        <f>IFERROR(__xludf.DUMMYFUNCTION("""COMPUTED_VALUE"""),1.0)</f>
        <v>1</v>
      </c>
      <c r="C367" s="36">
        <f>IFERROR(__xludf.DUMMYFUNCTION("""COMPUTED_VALUE"""),46155.0)</f>
        <v>46155</v>
      </c>
      <c r="D367" s="34" t="str">
        <f>IFERROR(__xludf.DUMMYFUNCTION("""COMPUTED_VALUE"""),"WH")</f>
        <v>WH</v>
      </c>
    </row>
    <row r="368">
      <c r="A368" s="34" t="str">
        <f>IFERROR(__xludf.DUMMYFUNCTION("""COMPUTED_VALUE"""),"MASKER")</f>
        <v>MASKER</v>
      </c>
      <c r="B368" s="34">
        <f>IFERROR(__xludf.DUMMYFUNCTION("""COMPUTED_VALUE"""),1.0)</f>
        <v>1</v>
      </c>
      <c r="C368" s="36">
        <f>IFERROR(__xludf.DUMMYFUNCTION("""COMPUTED_VALUE"""),46155.0)</f>
        <v>46155</v>
      </c>
      <c r="D368" s="34" t="str">
        <f>IFERROR(__xludf.DUMMYFUNCTION("""COMPUTED_VALUE"""),"WH")</f>
        <v>WH</v>
      </c>
    </row>
    <row r="369">
      <c r="A369" s="34" t="str">
        <f>IFERROR(__xludf.DUMMYFUNCTION("""COMPUTED_VALUE"""),"BATU BATERAI A3")</f>
        <v>BATU BATERAI A3</v>
      </c>
      <c r="B369" s="34">
        <f>IFERROR(__xludf.DUMMYFUNCTION("""COMPUTED_VALUE"""),2.0)</f>
        <v>2</v>
      </c>
      <c r="C369" s="36">
        <f>IFERROR(__xludf.DUMMYFUNCTION("""COMPUTED_VALUE"""),46155.0)</f>
        <v>46155</v>
      </c>
      <c r="D369" s="34" t="str">
        <f>IFERROR(__xludf.DUMMYFUNCTION("""COMPUTED_VALUE"""),"WH")</f>
        <v>WH</v>
      </c>
    </row>
    <row r="370">
      <c r="A370" s="34" t="str">
        <f>IFERROR(__xludf.DUMMYFUNCTION("""COMPUTED_VALUE"""),"ISI CUTTER")</f>
        <v>ISI CUTTER</v>
      </c>
      <c r="B370" s="34">
        <f>IFERROR(__xludf.DUMMYFUNCTION("""COMPUTED_VALUE"""),1.0)</f>
        <v>1</v>
      </c>
      <c r="C370" s="36">
        <f>IFERROR(__xludf.DUMMYFUNCTION("""COMPUTED_VALUE"""),46155.0)</f>
        <v>46155</v>
      </c>
      <c r="D370" s="34" t="str">
        <f>IFERROR(__xludf.DUMMYFUNCTION("""COMPUTED_VALUE"""),"WH")</f>
        <v>WH</v>
      </c>
    </row>
    <row r="371">
      <c r="A371" s="34" t="str">
        <f>IFERROR(__xludf.DUMMYFUNCTION("""COMPUTED_VALUE"""),"MASKER")</f>
        <v>MASKER</v>
      </c>
      <c r="B371" s="34">
        <f>IFERROR(__xludf.DUMMYFUNCTION("""COMPUTED_VALUE"""),1.0)</f>
        <v>1</v>
      </c>
      <c r="C371" s="36">
        <f>IFERROR(__xludf.DUMMYFUNCTION("""COMPUTED_VALUE"""),46155.0)</f>
        <v>46155</v>
      </c>
      <c r="D371" s="34" t="str">
        <f>IFERROR(__xludf.DUMMYFUNCTION("""COMPUTED_VALUE"""),"FITA")</f>
        <v>FITA</v>
      </c>
    </row>
    <row r="372">
      <c r="A372" s="34" t="str">
        <f>IFERROR(__xludf.DUMMYFUNCTION("""COMPUTED_VALUE"""),"TISSUE")</f>
        <v>TISSUE</v>
      </c>
      <c r="B372" s="34">
        <f>IFERROR(__xludf.DUMMYFUNCTION("""COMPUTED_VALUE"""),1.0)</f>
        <v>1</v>
      </c>
      <c r="C372" s="36">
        <f>IFERROR(__xludf.DUMMYFUNCTION("""COMPUTED_VALUE"""),46155.0)</f>
        <v>46155</v>
      </c>
      <c r="D372" s="34" t="str">
        <f>IFERROR(__xludf.DUMMYFUNCTION("""COMPUTED_VALUE"""),"FITA")</f>
        <v>FITA</v>
      </c>
    </row>
    <row r="373">
      <c r="A373" s="34" t="str">
        <f>IFERROR(__xludf.DUMMYFUNCTION("""COMPUTED_VALUE"""),"PLASTIK SAMPAH")</f>
        <v>PLASTIK SAMPAH</v>
      </c>
      <c r="B373" s="34">
        <f>IFERROR(__xludf.DUMMYFUNCTION("""COMPUTED_VALUE"""),1.0)</f>
        <v>1</v>
      </c>
      <c r="C373" s="36">
        <f>IFERROR(__xludf.DUMMYFUNCTION("""COMPUTED_VALUE"""),46155.0)</f>
        <v>46155</v>
      </c>
      <c r="D373" s="34" t="str">
        <f>IFERROR(__xludf.DUMMYFUNCTION("""COMPUTED_VALUE"""),"FAREL")</f>
        <v>FAREL</v>
      </c>
    </row>
    <row r="374">
      <c r="A374" s="34" t="str">
        <f>IFERROR(__xludf.DUMMYFUNCTION("""COMPUTED_VALUE"""),"MASKER")</f>
        <v>MASKER</v>
      </c>
      <c r="B374" s="34">
        <f>IFERROR(__xludf.DUMMYFUNCTION("""COMPUTED_VALUE"""),1.0)</f>
        <v>1</v>
      </c>
      <c r="C374" s="36">
        <f>IFERROR(__xludf.DUMMYFUNCTION("""COMPUTED_VALUE"""),46155.0)</f>
        <v>46155</v>
      </c>
      <c r="D374" s="34" t="str">
        <f>IFERROR(__xludf.DUMMYFUNCTION("""COMPUTED_VALUE"""),"ILYAS")</f>
        <v>ILYAS</v>
      </c>
    </row>
    <row r="375">
      <c r="A375" s="34" t="str">
        <f>IFERROR(__xludf.DUMMYFUNCTION("""COMPUTED_VALUE"""),"TISSUE")</f>
        <v>TISSUE</v>
      </c>
      <c r="B375" s="34">
        <f>IFERROR(__xludf.DUMMYFUNCTION("""COMPUTED_VALUE"""),1.0)</f>
        <v>1</v>
      </c>
      <c r="C375" s="36">
        <f>IFERROR(__xludf.DUMMYFUNCTION("""COMPUTED_VALUE"""),46155.0)</f>
        <v>46155</v>
      </c>
      <c r="D375" s="34" t="str">
        <f>IFERROR(__xludf.DUMMYFUNCTION("""COMPUTED_VALUE"""),"ILYAS")</f>
        <v>ILYAS</v>
      </c>
    </row>
    <row r="376">
      <c r="A376" s="34" t="str">
        <f>IFERROR(__xludf.DUMMYFUNCTION("""COMPUTED_VALUE"""),"PARACETAMOL")</f>
        <v>PARACETAMOL</v>
      </c>
      <c r="B376" s="34">
        <f>IFERROR(__xludf.DUMMYFUNCTION("""COMPUTED_VALUE"""),1.0)</f>
        <v>1</v>
      </c>
      <c r="C376" s="36">
        <f>IFERROR(__xludf.DUMMYFUNCTION("""COMPUTED_VALUE"""),46155.0)</f>
        <v>46155</v>
      </c>
      <c r="D376" s="34" t="str">
        <f>IFERROR(__xludf.DUMMYFUNCTION("""COMPUTED_VALUE"""),"RND")</f>
        <v>RND</v>
      </c>
    </row>
    <row r="377">
      <c r="A377" s="34" t="str">
        <f>IFERROR(__xludf.DUMMYFUNCTION("""COMPUTED_VALUE"""),"BOX FILE BINDEX")</f>
        <v>BOX FILE BINDEX</v>
      </c>
      <c r="B377" s="34">
        <f>IFERROR(__xludf.DUMMYFUNCTION("""COMPUTED_VALUE"""),1.0)</f>
        <v>1</v>
      </c>
      <c r="C377" s="36">
        <f>IFERROR(__xludf.DUMMYFUNCTION("""COMPUTED_VALUE"""),46155.0)</f>
        <v>46155</v>
      </c>
      <c r="D377" s="34" t="str">
        <f>IFERROR(__xludf.DUMMYFUNCTION("""COMPUTED_VALUE"""),"IENDAH")</f>
        <v>IENDAH</v>
      </c>
    </row>
    <row r="378">
      <c r="A378" s="34" t="str">
        <f>IFERROR(__xludf.DUMMYFUNCTION("""COMPUTED_VALUE"""),"SABUN CUCI PIRING ")</f>
        <v>SABUN CUCI PIRING </v>
      </c>
      <c r="B378" s="34">
        <f>IFERROR(__xludf.DUMMYFUNCTION("""COMPUTED_VALUE"""),1.0)</f>
        <v>1</v>
      </c>
      <c r="C378" s="36">
        <f>IFERROR(__xludf.DUMMYFUNCTION("""COMPUTED_VALUE"""),46155.0)</f>
        <v>46155</v>
      </c>
      <c r="D378" s="34" t="str">
        <f>IFERROR(__xludf.DUMMYFUNCTION("""COMPUTED_VALUE"""),"RIYANTI")</f>
        <v>RIYANTI</v>
      </c>
    </row>
    <row r="379">
      <c r="A379" s="34" t="str">
        <f>IFERROR(__xludf.DUMMYFUNCTION("""COMPUTED_VALUE"""),"TOPRON PEMBERSIH KERAMIK , PORCELAIN BOTOL 1 LITER ")</f>
        <v>TOPRON PEMBERSIH KERAMIK , PORCELAIN BOTOL 1 LITER </v>
      </c>
      <c r="B379" s="34">
        <f>IFERROR(__xludf.DUMMYFUNCTION("""COMPUTED_VALUE"""),1.0)</f>
        <v>1</v>
      </c>
      <c r="C379" s="36">
        <f>IFERROR(__xludf.DUMMYFUNCTION("""COMPUTED_VALUE"""),46155.0)</f>
        <v>46155</v>
      </c>
      <c r="D379" s="34" t="str">
        <f>IFERROR(__xludf.DUMMYFUNCTION("""COMPUTED_VALUE"""),"RIYANTI")</f>
        <v>RIYANTI</v>
      </c>
    </row>
    <row r="380">
      <c r="A380" s="34" t="str">
        <f>IFERROR(__xludf.DUMMYFUNCTION("""COMPUTED_VALUE"""),"TISSUE")</f>
        <v>TISSUE</v>
      </c>
      <c r="B380" s="34">
        <f>IFERROR(__xludf.DUMMYFUNCTION("""COMPUTED_VALUE"""),1.0)</f>
        <v>1</v>
      </c>
      <c r="C380" s="36">
        <f>IFERROR(__xludf.DUMMYFUNCTION("""COMPUTED_VALUE"""),46155.0)</f>
        <v>46155</v>
      </c>
      <c r="D380" s="34" t="str">
        <f>IFERROR(__xludf.DUMMYFUNCTION("""COMPUTED_VALUE"""),"RIYANTI")</f>
        <v>RIYANTI</v>
      </c>
    </row>
    <row r="381">
      <c r="A381" s="34" t="str">
        <f>IFERROR(__xludf.DUMMYFUNCTION("""COMPUTED_VALUE"""),"DOUBLE TAPE FOAM")</f>
        <v>DOUBLE TAPE FOAM</v>
      </c>
      <c r="B381" s="34">
        <f>IFERROR(__xludf.DUMMYFUNCTION("""COMPUTED_VALUE"""),2.0)</f>
        <v>2</v>
      </c>
      <c r="C381" s="36">
        <f>IFERROR(__xludf.DUMMYFUNCTION("""COMPUTED_VALUE"""),46155.0)</f>
        <v>46155</v>
      </c>
      <c r="D381" s="34" t="str">
        <f>IFERROR(__xludf.DUMMYFUNCTION("""COMPUTED_VALUE"""),"IENDAH")</f>
        <v>IENDAH</v>
      </c>
    </row>
    <row r="382">
      <c r="A382" s="34" t="str">
        <f>IFERROR(__xludf.DUMMYFUNCTION("""COMPUTED_VALUE"""),"KERTAS HVS A4")</f>
        <v>KERTAS HVS A4</v>
      </c>
      <c r="B382" s="34">
        <f>IFERROR(__xludf.DUMMYFUNCTION("""COMPUTED_VALUE"""),1.0)</f>
        <v>1</v>
      </c>
      <c r="C382" s="36">
        <f>IFERROR(__xludf.DUMMYFUNCTION("""COMPUTED_VALUE"""),46155.0)</f>
        <v>46155</v>
      </c>
      <c r="D382" s="34" t="str">
        <f>IFERROR(__xludf.DUMMYFUNCTION("""COMPUTED_VALUE"""),"ANISA")</f>
        <v>ANISA</v>
      </c>
    </row>
    <row r="383">
      <c r="A383" s="34" t="str">
        <f>IFERROR(__xludf.DUMMYFUNCTION("""COMPUTED_VALUE"""),"MASKER")</f>
        <v>MASKER</v>
      </c>
      <c r="B383" s="34">
        <f>IFERROR(__xludf.DUMMYFUNCTION("""COMPUTED_VALUE"""),1.0)</f>
        <v>1</v>
      </c>
      <c r="C383" s="36">
        <f>IFERROR(__xludf.DUMMYFUNCTION("""COMPUTED_VALUE"""),46155.0)</f>
        <v>46155</v>
      </c>
      <c r="D383" s="34" t="str">
        <f>IFERROR(__xludf.DUMMYFUNCTION("""COMPUTED_VALUE"""),"ANISA")</f>
        <v>ANISA</v>
      </c>
    </row>
    <row r="384">
      <c r="A384" s="34" t="str">
        <f>IFERROR(__xludf.DUMMYFUNCTION("""COMPUTED_VALUE"""),"MASKER")</f>
        <v>MASKER</v>
      </c>
      <c r="B384" s="34">
        <f>IFERROR(__xludf.DUMMYFUNCTION("""COMPUTED_VALUE"""),2.0)</f>
        <v>2</v>
      </c>
      <c r="C384" s="36">
        <f>IFERROR(__xludf.DUMMYFUNCTION("""COMPUTED_VALUE"""),46155.0)</f>
        <v>46155</v>
      </c>
      <c r="D384" s="34" t="str">
        <f>IFERROR(__xludf.DUMMYFUNCTION("""COMPUTED_VALUE"""),"BAGAS")</f>
        <v>BAGAS</v>
      </c>
    </row>
    <row r="385">
      <c r="A385" s="34" t="str">
        <f>IFERROR(__xludf.DUMMYFUNCTION("""COMPUTED_VALUE"""),"LATEX SARUNG TANGAN ")</f>
        <v>LATEX SARUNG TANGAN </v>
      </c>
      <c r="B385" s="34">
        <f>IFERROR(__xludf.DUMMYFUNCTION("""COMPUTED_VALUE"""),2.0)</f>
        <v>2</v>
      </c>
      <c r="C385" s="36">
        <f>IFERROR(__xludf.DUMMYFUNCTION("""COMPUTED_VALUE"""),46155.0)</f>
        <v>46155</v>
      </c>
      <c r="D385" s="34" t="str">
        <f>IFERROR(__xludf.DUMMYFUNCTION("""COMPUTED_VALUE"""),"BAGAS")</f>
        <v>BAGAS</v>
      </c>
    </row>
    <row r="386">
      <c r="A386" s="34" t="str">
        <f>IFERROR(__xludf.DUMMYFUNCTION("""COMPUTED_VALUE"""),"MASKER")</f>
        <v>MASKER</v>
      </c>
      <c r="B386" s="34">
        <f>IFERROR(__xludf.DUMMYFUNCTION("""COMPUTED_VALUE"""),1.0)</f>
        <v>1</v>
      </c>
      <c r="C386" s="36">
        <f>IFERROR(__xludf.DUMMYFUNCTION("""COMPUTED_VALUE"""),46157.0)</f>
        <v>46157</v>
      </c>
      <c r="D386" s="34" t="str">
        <f>IFERROR(__xludf.DUMMYFUNCTION("""COMPUTED_VALUE"""),"FITA")</f>
        <v>FITA</v>
      </c>
    </row>
    <row r="387">
      <c r="A387" s="34" t="str">
        <f>IFERROR(__xludf.DUMMYFUNCTION("""COMPUTED_VALUE"""),"TISSUE")</f>
        <v>TISSUE</v>
      </c>
      <c r="B387" s="34">
        <f>IFERROR(__xludf.DUMMYFUNCTION("""COMPUTED_VALUE"""),1.0)</f>
        <v>1</v>
      </c>
      <c r="C387" s="36">
        <f>IFERROR(__xludf.DUMMYFUNCTION("""COMPUTED_VALUE"""),46157.0)</f>
        <v>46157</v>
      </c>
      <c r="D387" s="34" t="str">
        <f>IFERROR(__xludf.DUMMYFUNCTION("""COMPUTED_VALUE"""),"FITA")</f>
        <v>FITA</v>
      </c>
    </row>
    <row r="388">
      <c r="A388" s="34" t="str">
        <f>IFERROR(__xludf.DUMMYFUNCTION("""COMPUTED_VALUE"""),"PULPEN HITAM")</f>
        <v>PULPEN HITAM</v>
      </c>
      <c r="B388" s="34">
        <f>IFERROR(__xludf.DUMMYFUNCTION("""COMPUTED_VALUE"""),1.0)</f>
        <v>1</v>
      </c>
      <c r="C388" s="36">
        <f>IFERROR(__xludf.DUMMYFUNCTION("""COMPUTED_VALUE"""),46157.0)</f>
        <v>46157</v>
      </c>
      <c r="D388" s="34" t="str">
        <f>IFERROR(__xludf.DUMMYFUNCTION("""COMPUTED_VALUE"""),"FITA")</f>
        <v>FITA</v>
      </c>
    </row>
    <row r="389">
      <c r="A389" s="34" t="str">
        <f>IFERROR(__xludf.DUMMYFUNCTION("""COMPUTED_VALUE"""),"ISI PULPEN DELI")</f>
        <v>ISI PULPEN DELI</v>
      </c>
      <c r="B389" s="34">
        <f>IFERROR(__xludf.DUMMYFUNCTION("""COMPUTED_VALUE"""),1.0)</f>
        <v>1</v>
      </c>
      <c r="C389" s="36">
        <f>IFERROR(__xludf.DUMMYFUNCTION("""COMPUTED_VALUE"""),46157.0)</f>
        <v>46157</v>
      </c>
      <c r="D389" s="34" t="str">
        <f>IFERROR(__xludf.DUMMYFUNCTION("""COMPUTED_VALUE"""),"FITA")</f>
        <v>FITA</v>
      </c>
    </row>
    <row r="390">
      <c r="A390" s="34" t="str">
        <f>IFERROR(__xludf.DUMMYFUNCTION("""COMPUTED_VALUE"""),"TIPE - X")</f>
        <v>TIPE - X</v>
      </c>
      <c r="B390" s="34">
        <f>IFERROR(__xludf.DUMMYFUNCTION("""COMPUTED_VALUE"""),1.0)</f>
        <v>1</v>
      </c>
      <c r="C390" s="36">
        <f>IFERROR(__xludf.DUMMYFUNCTION("""COMPUTED_VALUE"""),46157.0)</f>
        <v>46157</v>
      </c>
      <c r="D390" s="34" t="str">
        <f>IFERROR(__xludf.DUMMYFUNCTION("""COMPUTED_VALUE"""),"FITA")</f>
        <v>FITA</v>
      </c>
    </row>
    <row r="391">
      <c r="A391" s="34" t="str">
        <f>IFERROR(__xludf.DUMMYFUNCTION("""COMPUTED_VALUE"""),"INSTO")</f>
        <v>INSTO</v>
      </c>
      <c r="B391" s="34">
        <f>IFERROR(__xludf.DUMMYFUNCTION("""COMPUTED_VALUE"""),1.0)</f>
        <v>1</v>
      </c>
      <c r="C391" s="36">
        <f>IFERROR(__xludf.DUMMYFUNCTION("""COMPUTED_VALUE"""),46157.0)</f>
        <v>46157</v>
      </c>
      <c r="D391" s="34" t="str">
        <f>IFERROR(__xludf.DUMMYFUNCTION("""COMPUTED_VALUE"""),"FITA")</f>
        <v>FITA</v>
      </c>
    </row>
    <row r="392">
      <c r="A392" s="34" t="str">
        <f>IFERROR(__xludf.DUMMYFUNCTION("""COMPUTED_VALUE"""),"PARACETAMOL")</f>
        <v>PARACETAMOL</v>
      </c>
      <c r="B392" s="34">
        <f>IFERROR(__xludf.DUMMYFUNCTION("""COMPUTED_VALUE"""),1.0)</f>
        <v>1</v>
      </c>
      <c r="C392" s="36">
        <f>IFERROR(__xludf.DUMMYFUNCTION("""COMPUTED_VALUE"""),46157.0)</f>
        <v>46157</v>
      </c>
      <c r="D392" s="34" t="str">
        <f>IFERROR(__xludf.DUMMYFUNCTION("""COMPUTED_VALUE"""),"FITA")</f>
        <v>FITA</v>
      </c>
    </row>
    <row r="393">
      <c r="A393" s="34" t="str">
        <f>IFERROR(__xludf.DUMMYFUNCTION("""COMPUTED_VALUE"""),"SALONPAS")</f>
        <v>SALONPAS</v>
      </c>
      <c r="B393" s="34">
        <f>IFERROR(__xludf.DUMMYFUNCTION("""COMPUTED_VALUE"""),1.0)</f>
        <v>1</v>
      </c>
      <c r="C393" s="36">
        <f>IFERROR(__xludf.DUMMYFUNCTION("""COMPUTED_VALUE"""),46157.0)</f>
        <v>46157</v>
      </c>
      <c r="D393" s="34" t="str">
        <f>IFERROR(__xludf.DUMMYFUNCTION("""COMPUTED_VALUE"""),"FITA")</f>
        <v>FITA</v>
      </c>
    </row>
    <row r="394">
      <c r="A394" s="34" t="str">
        <f>IFERROR(__xludf.DUMMYFUNCTION("""COMPUTED_VALUE"""),"TISSUE")</f>
        <v>TISSUE</v>
      </c>
      <c r="B394" s="34">
        <f>IFERROR(__xludf.DUMMYFUNCTION("""COMPUTED_VALUE"""),1.0)</f>
        <v>1</v>
      </c>
      <c r="C394" s="36">
        <f>IFERROR(__xludf.DUMMYFUNCTION("""COMPUTED_VALUE"""),46157.0)</f>
        <v>46157</v>
      </c>
      <c r="D394" s="34" t="str">
        <f>IFERROR(__xludf.DUMMYFUNCTION("""COMPUTED_VALUE"""),"AINI")</f>
        <v>AINI</v>
      </c>
    </row>
    <row r="395">
      <c r="A395" s="34" t="str">
        <f>IFERROR(__xludf.DUMMYFUNCTION("""COMPUTED_VALUE"""),"MASKER")</f>
        <v>MASKER</v>
      </c>
      <c r="B395" s="34">
        <f>IFERROR(__xludf.DUMMYFUNCTION("""COMPUTED_VALUE"""),1.0)</f>
        <v>1</v>
      </c>
      <c r="C395" s="36">
        <f>IFERROR(__xludf.DUMMYFUNCTION("""COMPUTED_VALUE"""),46157.0)</f>
        <v>46157</v>
      </c>
      <c r="D395" s="34" t="str">
        <f>IFERROR(__xludf.DUMMYFUNCTION("""COMPUTED_VALUE"""),"AINI")</f>
        <v>AINI</v>
      </c>
    </row>
    <row r="396">
      <c r="A396" s="34" t="str">
        <f>IFERROR(__xludf.DUMMYFUNCTION("""COMPUTED_VALUE"""),"LATEX SARUNG TANGAN ")</f>
        <v>LATEX SARUNG TANGAN </v>
      </c>
      <c r="B396" s="34">
        <f>IFERROR(__xludf.DUMMYFUNCTION("""COMPUTED_VALUE"""),1.0)</f>
        <v>1</v>
      </c>
      <c r="C396" s="36">
        <f>IFERROR(__xludf.DUMMYFUNCTION("""COMPUTED_VALUE"""),46157.0)</f>
        <v>46157</v>
      </c>
      <c r="D396" s="34" t="str">
        <f>IFERROR(__xludf.DUMMYFUNCTION("""COMPUTED_VALUE"""),"AINI")</f>
        <v>AINI</v>
      </c>
    </row>
    <row r="397">
      <c r="A397" s="34" t="str">
        <f>IFERROR(__xludf.DUMMYFUNCTION("""COMPUTED_VALUE"""),"PULPEN HITAM")</f>
        <v>PULPEN HITAM</v>
      </c>
      <c r="B397" s="34">
        <f>IFERROR(__xludf.DUMMYFUNCTION("""COMPUTED_VALUE"""),2.0)</f>
        <v>2</v>
      </c>
      <c r="C397" s="36">
        <f>IFERROR(__xludf.DUMMYFUNCTION("""COMPUTED_VALUE"""),46157.0)</f>
        <v>46157</v>
      </c>
      <c r="D397" s="34" t="str">
        <f>IFERROR(__xludf.DUMMYFUNCTION("""COMPUTED_VALUE"""),"AINI")</f>
        <v>AINI</v>
      </c>
    </row>
    <row r="398">
      <c r="A398" s="34" t="str">
        <f>IFERROR(__xludf.DUMMYFUNCTION("""COMPUTED_VALUE"""),"SPIDOL HITAM")</f>
        <v>SPIDOL HITAM</v>
      </c>
      <c r="B398" s="34">
        <f>IFERROR(__xludf.DUMMYFUNCTION("""COMPUTED_VALUE"""),2.0)</f>
        <v>2</v>
      </c>
      <c r="C398" s="36">
        <f>IFERROR(__xludf.DUMMYFUNCTION("""COMPUTED_VALUE"""),46157.0)</f>
        <v>46157</v>
      </c>
      <c r="D398" s="34" t="str">
        <f>IFERROR(__xludf.DUMMYFUNCTION("""COMPUTED_VALUE"""),"AINI")</f>
        <v>AINI</v>
      </c>
    </row>
    <row r="399">
      <c r="A399" s="34" t="str">
        <f>IFERROR(__xludf.DUMMYFUNCTION("""COMPUTED_VALUE"""),"ISI STAPLES KECIL")</f>
        <v>ISI STAPLES KECIL</v>
      </c>
      <c r="B399" s="34">
        <f>IFERROR(__xludf.DUMMYFUNCTION("""COMPUTED_VALUE"""),1.0)</f>
        <v>1</v>
      </c>
      <c r="C399" s="36">
        <f>IFERROR(__xludf.DUMMYFUNCTION("""COMPUTED_VALUE"""),46157.0)</f>
        <v>46157</v>
      </c>
      <c r="D399" s="34" t="str">
        <f>IFERROR(__xludf.DUMMYFUNCTION("""COMPUTED_VALUE"""),"AINI")</f>
        <v>AINI</v>
      </c>
    </row>
    <row r="400">
      <c r="A400" s="34" t="str">
        <f>IFERROR(__xludf.DUMMYFUNCTION("""COMPUTED_VALUE"""),"TIPE - X")</f>
        <v>TIPE - X</v>
      </c>
      <c r="B400" s="34">
        <f>IFERROR(__xludf.DUMMYFUNCTION("""COMPUTED_VALUE"""),1.0)</f>
        <v>1</v>
      </c>
      <c r="C400" s="36">
        <f>IFERROR(__xludf.DUMMYFUNCTION("""COMPUTED_VALUE"""),46157.0)</f>
        <v>46157</v>
      </c>
      <c r="D400" s="34" t="str">
        <f>IFERROR(__xludf.DUMMYFUNCTION("""COMPUTED_VALUE"""),"AINI")</f>
        <v>AINI</v>
      </c>
    </row>
    <row r="401">
      <c r="A401" s="34" t="str">
        <f>IFERROR(__xludf.DUMMYFUNCTION("""COMPUTED_VALUE"""),"SALONPAS")</f>
        <v>SALONPAS</v>
      </c>
      <c r="B401" s="34">
        <f>IFERROR(__xludf.DUMMYFUNCTION("""COMPUTED_VALUE"""),1.0)</f>
        <v>1</v>
      </c>
      <c r="C401" s="36">
        <f>IFERROR(__xludf.DUMMYFUNCTION("""COMPUTED_VALUE"""),46157.0)</f>
        <v>46157</v>
      </c>
      <c r="D401" s="34" t="str">
        <f>IFERROR(__xludf.DUMMYFUNCTION("""COMPUTED_VALUE"""),"AINI")</f>
        <v>AINI</v>
      </c>
    </row>
    <row r="402">
      <c r="A402" s="34" t="str">
        <f>IFERROR(__xludf.DUMMYFUNCTION("""COMPUTED_VALUE"""),"KAIN KASA")</f>
        <v>KAIN KASA</v>
      </c>
      <c r="B402" s="34">
        <f>IFERROR(__xludf.DUMMYFUNCTION("""COMPUTED_VALUE"""),1.0)</f>
        <v>1</v>
      </c>
      <c r="C402" s="36">
        <f>IFERROR(__xludf.DUMMYFUNCTION("""COMPUTED_VALUE"""),46157.0)</f>
        <v>46157</v>
      </c>
      <c r="D402" s="34" t="str">
        <f>IFERROR(__xludf.DUMMYFUNCTION("""COMPUTED_VALUE"""),"AINI")</f>
        <v>AINI</v>
      </c>
    </row>
    <row r="403">
      <c r="A403" s="34" t="str">
        <f>IFERROR(__xludf.DUMMYFUNCTION("""COMPUTED_VALUE"""),"MINYAK KAYU PUTIH")</f>
        <v>MINYAK KAYU PUTIH</v>
      </c>
      <c r="B403" s="34">
        <f>IFERROR(__xludf.DUMMYFUNCTION("""COMPUTED_VALUE"""),1.0)</f>
        <v>1</v>
      </c>
      <c r="C403" s="36">
        <f>IFERROR(__xludf.DUMMYFUNCTION("""COMPUTED_VALUE"""),46157.0)</f>
        <v>46157</v>
      </c>
      <c r="D403" s="34" t="str">
        <f>IFERROR(__xludf.DUMMYFUNCTION("""COMPUTED_VALUE"""),"AINI")</f>
        <v>AINI</v>
      </c>
    </row>
    <row r="404">
      <c r="A404" s="34" t="str">
        <f>IFERROR(__xludf.DUMMYFUNCTION("""COMPUTED_VALUE"""),"MICROPORE/PLASTER ")</f>
        <v>MICROPORE/PLASTER </v>
      </c>
      <c r="B404" s="34">
        <f>IFERROR(__xludf.DUMMYFUNCTION("""COMPUTED_VALUE"""),1.0)</f>
        <v>1</v>
      </c>
      <c r="C404" s="36">
        <f>IFERROR(__xludf.DUMMYFUNCTION("""COMPUTED_VALUE"""),46157.0)</f>
        <v>46157</v>
      </c>
      <c r="D404" s="34" t="str">
        <f>IFERROR(__xludf.DUMMYFUNCTION("""COMPUTED_VALUE"""),"AINI")</f>
        <v>AINI</v>
      </c>
    </row>
    <row r="405">
      <c r="A405" s="34" t="str">
        <f>IFERROR(__xludf.DUMMYFUNCTION("""COMPUTED_VALUE"""),"MASKER")</f>
        <v>MASKER</v>
      </c>
      <c r="B405" s="34">
        <f>IFERROR(__xludf.DUMMYFUNCTION("""COMPUTED_VALUE"""),1.0)</f>
        <v>1</v>
      </c>
      <c r="C405" s="36">
        <f>IFERROR(__xludf.DUMMYFUNCTION("""COMPUTED_VALUE"""),46157.0)</f>
        <v>46157</v>
      </c>
      <c r="D405" s="34" t="str">
        <f>IFERROR(__xludf.DUMMYFUNCTION("""COMPUTED_VALUE"""),"BAGAS")</f>
        <v>BAGAS</v>
      </c>
    </row>
    <row r="406">
      <c r="A406" s="34" t="str">
        <f>IFERROR(__xludf.DUMMYFUNCTION("""COMPUTED_VALUE"""),"LATEX SARUNG TANGAN ")</f>
        <v>LATEX SARUNG TANGAN </v>
      </c>
      <c r="B406" s="34">
        <f>IFERROR(__xludf.DUMMYFUNCTION("""COMPUTED_VALUE"""),1.0)</f>
        <v>1</v>
      </c>
      <c r="C406" s="36">
        <f>IFERROR(__xludf.DUMMYFUNCTION("""COMPUTED_VALUE"""),46157.0)</f>
        <v>46157</v>
      </c>
      <c r="D406" s="34" t="str">
        <f>IFERROR(__xludf.DUMMYFUNCTION("""COMPUTED_VALUE"""),"BAGAS")</f>
        <v>BAGAS</v>
      </c>
    </row>
    <row r="407">
      <c r="A407" s="34" t="str">
        <f>IFERROR(__xludf.DUMMYFUNCTION("""COMPUTED_VALUE"""),"SPIDOL PUTIH")</f>
        <v>SPIDOL PUTIH</v>
      </c>
      <c r="B407" s="34">
        <f>IFERROR(__xludf.DUMMYFUNCTION("""COMPUTED_VALUE"""),1.0)</f>
        <v>1</v>
      </c>
      <c r="C407" s="36">
        <f>IFERROR(__xludf.DUMMYFUNCTION("""COMPUTED_VALUE"""),46157.0)</f>
        <v>46157</v>
      </c>
      <c r="D407" s="34" t="str">
        <f>IFERROR(__xludf.DUMMYFUNCTION("""COMPUTED_VALUE"""),"ACAL")</f>
        <v>ACAL</v>
      </c>
    </row>
    <row r="408">
      <c r="A408" s="34" t="str">
        <f>IFERROR(__xludf.DUMMYFUNCTION("""COMPUTED_VALUE"""),"ISI CUTTER")</f>
        <v>ISI CUTTER</v>
      </c>
      <c r="B408" s="34">
        <f>IFERROR(__xludf.DUMMYFUNCTION("""COMPUTED_VALUE"""),1.0)</f>
        <v>1</v>
      </c>
      <c r="C408" s="36">
        <f>IFERROR(__xludf.DUMMYFUNCTION("""COMPUTED_VALUE"""),46157.0)</f>
        <v>46157</v>
      </c>
      <c r="D408" s="34" t="str">
        <f>IFERROR(__xludf.DUMMYFUNCTION("""COMPUTED_VALUE"""),"ACAL")</f>
        <v>ACAL</v>
      </c>
    </row>
    <row r="409">
      <c r="A409" s="34" t="str">
        <f>IFERROR(__xludf.DUMMYFUNCTION("""COMPUTED_VALUE"""),"SUSU ")</f>
        <v>SUSU </v>
      </c>
      <c r="B409" s="34">
        <f>IFERROR(__xludf.DUMMYFUNCTION("""COMPUTED_VALUE"""),120.0)</f>
        <v>120</v>
      </c>
      <c r="C409" s="36">
        <f>IFERROR(__xludf.DUMMYFUNCTION("""COMPUTED_VALUE"""),46157.0)</f>
        <v>46157</v>
      </c>
      <c r="D409" s="34" t="str">
        <f>IFERROR(__xludf.DUMMYFUNCTION("""COMPUTED_VALUE"""),"FAREL")</f>
        <v>FAREL</v>
      </c>
    </row>
    <row r="410">
      <c r="A410" s="34" t="str">
        <f>IFERROR(__xludf.DUMMYFUNCTION("""COMPUTED_VALUE"""),"AIR MINERAL")</f>
        <v>AIR MINERAL</v>
      </c>
      <c r="B410" s="34">
        <f>IFERROR(__xludf.DUMMYFUNCTION("""COMPUTED_VALUE"""),24.0)</f>
        <v>24</v>
      </c>
      <c r="C410" s="36">
        <f>IFERROR(__xludf.DUMMYFUNCTION("""COMPUTED_VALUE"""),46157.0)</f>
        <v>46157</v>
      </c>
      <c r="D410" s="34" t="str">
        <f>IFERROR(__xludf.DUMMYFUNCTION("""COMPUTED_VALUE"""),"FAREL")</f>
        <v>FAREL</v>
      </c>
    </row>
    <row r="411">
      <c r="A411" s="34" t="str">
        <f>IFERROR(__xludf.DUMMYFUNCTION("""COMPUTED_VALUE"""),"TEH BOTOL")</f>
        <v>TEH BOTOL</v>
      </c>
      <c r="B411" s="34">
        <f>IFERROR(__xludf.DUMMYFUNCTION("""COMPUTED_VALUE"""),24.0)</f>
        <v>24</v>
      </c>
      <c r="C411" s="36">
        <f>IFERROR(__xludf.DUMMYFUNCTION("""COMPUTED_VALUE"""),46157.0)</f>
        <v>46157</v>
      </c>
      <c r="D411" s="34" t="str">
        <f>IFERROR(__xludf.DUMMYFUNCTION("""COMPUTED_VALUE"""),"FAREL")</f>
        <v>FAREL</v>
      </c>
    </row>
    <row r="412">
      <c r="A412" s="34" t="str">
        <f>IFERROR(__xludf.DUMMYFUNCTION("""COMPUTED_VALUE"""),"TOPRON PEMBERSIH KERAMIK , PORCELAIN BOTOL 1 LITER ")</f>
        <v>TOPRON PEMBERSIH KERAMIK , PORCELAIN BOTOL 1 LITER </v>
      </c>
      <c r="B412" s="34">
        <f>IFERROR(__xludf.DUMMYFUNCTION("""COMPUTED_VALUE"""),1.0)</f>
        <v>1</v>
      </c>
      <c r="C412" s="36">
        <f>IFERROR(__xludf.DUMMYFUNCTION("""COMPUTED_VALUE"""),46157.0)</f>
        <v>46157</v>
      </c>
      <c r="D412" s="34" t="str">
        <f>IFERROR(__xludf.DUMMYFUNCTION("""COMPUTED_VALUE"""),"FAREL")</f>
        <v>FAREL</v>
      </c>
    </row>
    <row r="413">
      <c r="A413" s="34" t="str">
        <f>IFERROR(__xludf.DUMMYFUNCTION("""COMPUTED_VALUE"""),"BAYGON")</f>
        <v>BAYGON</v>
      </c>
      <c r="B413" s="34">
        <f>IFERROR(__xludf.DUMMYFUNCTION("""COMPUTED_VALUE"""),1.0)</f>
        <v>1</v>
      </c>
      <c r="C413" s="36">
        <f>IFERROR(__xludf.DUMMYFUNCTION("""COMPUTED_VALUE"""),46157.0)</f>
        <v>46157</v>
      </c>
      <c r="D413" s="34" t="str">
        <f>IFERROR(__xludf.DUMMYFUNCTION("""COMPUTED_VALUE"""),"FAREL")</f>
        <v>FAREL</v>
      </c>
    </row>
    <row r="414">
      <c r="A414" s="34" t="str">
        <f>IFERROR(__xludf.DUMMYFUNCTION("""COMPUTED_VALUE"""),"MASKER")</f>
        <v>MASKER</v>
      </c>
      <c r="B414" s="34">
        <f>IFERROR(__xludf.DUMMYFUNCTION("""COMPUTED_VALUE"""),1.0)</f>
        <v>1</v>
      </c>
      <c r="C414" s="36">
        <f>IFERROR(__xludf.DUMMYFUNCTION("""COMPUTED_VALUE"""),46157.0)</f>
        <v>46157</v>
      </c>
      <c r="D414" s="34" t="str">
        <f>IFERROR(__xludf.DUMMYFUNCTION("""COMPUTED_VALUE"""),"DANI")</f>
        <v>DANI</v>
      </c>
    </row>
    <row r="415">
      <c r="A415" s="34" t="str">
        <f>IFERROR(__xludf.DUMMYFUNCTION("""COMPUTED_VALUE"""),"LATEX SARUNG TANGAN ")</f>
        <v>LATEX SARUNG TANGAN </v>
      </c>
      <c r="B415" s="34">
        <f>IFERROR(__xludf.DUMMYFUNCTION("""COMPUTED_VALUE"""),1.0)</f>
        <v>1</v>
      </c>
      <c r="C415" s="36">
        <f>IFERROR(__xludf.DUMMYFUNCTION("""COMPUTED_VALUE"""),46157.0)</f>
        <v>46157</v>
      </c>
      <c r="D415" s="34" t="str">
        <f>IFERROR(__xludf.DUMMYFUNCTION("""COMPUTED_VALUE"""),"DANI")</f>
        <v>DANI</v>
      </c>
    </row>
    <row r="416">
      <c r="A416" s="34" t="str">
        <f>IFERROR(__xludf.DUMMYFUNCTION("""COMPUTED_VALUE"""),"TISSUE")</f>
        <v>TISSUE</v>
      </c>
      <c r="B416" s="34">
        <f>IFERROR(__xludf.DUMMYFUNCTION("""COMPUTED_VALUE"""),1.0)</f>
        <v>1</v>
      </c>
      <c r="C416" s="36">
        <f>IFERROR(__xludf.DUMMYFUNCTION("""COMPUTED_VALUE"""),46157.0)</f>
        <v>46157</v>
      </c>
      <c r="D416" s="34" t="str">
        <f>IFERROR(__xludf.DUMMYFUNCTION("""COMPUTED_VALUE"""),"DANI")</f>
        <v>DANI</v>
      </c>
    </row>
    <row r="417">
      <c r="A417" s="34" t="str">
        <f>IFERROR(__xludf.DUMMYFUNCTION("""COMPUTED_VALUE"""),"MASKER")</f>
        <v>MASKER</v>
      </c>
      <c r="B417" s="34">
        <f>IFERROR(__xludf.DUMMYFUNCTION("""COMPUTED_VALUE"""),1.0)</f>
        <v>1</v>
      </c>
      <c r="C417" s="36">
        <f>IFERROR(__xludf.DUMMYFUNCTION("""COMPUTED_VALUE"""),46157.0)</f>
        <v>46157</v>
      </c>
      <c r="D417" s="34" t="str">
        <f>IFERROR(__xludf.DUMMYFUNCTION("""COMPUTED_VALUE"""),"ILYAS")</f>
        <v>ILYAS</v>
      </c>
    </row>
    <row r="418">
      <c r="A418" s="34" t="str">
        <f>IFERROR(__xludf.DUMMYFUNCTION("""COMPUTED_VALUE"""),"TISSUE")</f>
        <v>TISSUE</v>
      </c>
      <c r="B418" s="34">
        <f>IFERROR(__xludf.DUMMYFUNCTION("""COMPUTED_VALUE"""),1.0)</f>
        <v>1</v>
      </c>
      <c r="C418" s="36">
        <f>IFERROR(__xludf.DUMMYFUNCTION("""COMPUTED_VALUE"""),46157.0)</f>
        <v>46157</v>
      </c>
      <c r="D418" s="34" t="str">
        <f>IFERROR(__xludf.DUMMYFUNCTION("""COMPUTED_VALUE"""),"ILYAS")</f>
        <v>ILYAS</v>
      </c>
    </row>
    <row r="419">
      <c r="A419" s="34" t="str">
        <f>IFERROR(__xludf.DUMMYFUNCTION("""COMPUTED_VALUE"""),"SUSU ")</f>
        <v>SUSU </v>
      </c>
      <c r="B419" s="34">
        <f>IFERROR(__xludf.DUMMYFUNCTION("""COMPUTED_VALUE"""),96.0)</f>
        <v>96</v>
      </c>
      <c r="C419" s="36">
        <f>IFERROR(__xludf.DUMMYFUNCTION("""COMPUTED_VALUE"""),46157.0)</f>
        <v>46157</v>
      </c>
      <c r="D419" s="34" t="str">
        <f>IFERROR(__xludf.DUMMYFUNCTION("""COMPUTED_VALUE"""),"GA HERIYANTO")</f>
        <v>GA HERIYANTO</v>
      </c>
    </row>
    <row r="420">
      <c r="A420" s="34" t="str">
        <f>IFERROR(__xludf.DUMMYFUNCTION("""COMPUTED_VALUE"""),"MASKER")</f>
        <v>MASKER</v>
      </c>
      <c r="B420" s="34">
        <f>IFERROR(__xludf.DUMMYFUNCTION("""COMPUTED_VALUE"""),1.0)</f>
        <v>1</v>
      </c>
      <c r="C420" s="36">
        <f>IFERROR(__xludf.DUMMYFUNCTION("""COMPUTED_VALUE"""),46158.0)</f>
        <v>46158</v>
      </c>
      <c r="D420" s="34" t="str">
        <f>IFERROR(__xludf.DUMMYFUNCTION("""COMPUTED_VALUE"""),"FITA")</f>
        <v>FITA</v>
      </c>
    </row>
    <row r="421">
      <c r="A421" s="34" t="str">
        <f>IFERROR(__xludf.DUMMYFUNCTION("""COMPUTED_VALUE"""),"LATEX SARUNG TANGAN ")</f>
        <v>LATEX SARUNG TANGAN </v>
      </c>
      <c r="B421" s="34">
        <f>IFERROR(__xludf.DUMMYFUNCTION("""COMPUTED_VALUE"""),1.0)</f>
        <v>1</v>
      </c>
      <c r="C421" s="36">
        <f>IFERROR(__xludf.DUMMYFUNCTION("""COMPUTED_VALUE"""),46158.0)</f>
        <v>46158</v>
      </c>
      <c r="D421" s="34" t="str">
        <f>IFERROR(__xludf.DUMMYFUNCTION("""COMPUTED_VALUE"""),"FITA")</f>
        <v>FITA</v>
      </c>
    </row>
    <row r="422">
      <c r="A422" s="34" t="str">
        <f>IFERROR(__xludf.DUMMYFUNCTION("""COMPUTED_VALUE"""),"BUKU FOLIO")</f>
        <v>BUKU FOLIO</v>
      </c>
      <c r="B422" s="34">
        <f>IFERROR(__xludf.DUMMYFUNCTION("""COMPUTED_VALUE"""),3.0)</f>
        <v>3</v>
      </c>
      <c r="C422" s="36">
        <f>IFERROR(__xludf.DUMMYFUNCTION("""COMPUTED_VALUE"""),46158.0)</f>
        <v>46158</v>
      </c>
      <c r="D422" s="34" t="str">
        <f>IFERROR(__xludf.DUMMYFUNCTION("""COMPUTED_VALUE"""),"AMIREL")</f>
        <v>AMIREL</v>
      </c>
    </row>
    <row r="423">
      <c r="A423" s="34" t="str">
        <f>IFERROR(__xludf.DUMMYFUNCTION("""COMPUTED_VALUE"""),"BANTEX ")</f>
        <v>BANTEX </v>
      </c>
      <c r="B423" s="34">
        <f>IFERROR(__xludf.DUMMYFUNCTION("""COMPUTED_VALUE"""),4.0)</f>
        <v>4</v>
      </c>
      <c r="C423" s="36">
        <f>IFERROR(__xludf.DUMMYFUNCTION("""COMPUTED_VALUE"""),46158.0)</f>
        <v>46158</v>
      </c>
      <c r="D423" s="34" t="str">
        <f>IFERROR(__xludf.DUMMYFUNCTION("""COMPUTED_VALUE"""),"AMIREL")</f>
        <v>AMIREL</v>
      </c>
    </row>
    <row r="424">
      <c r="A424" s="34" t="str">
        <f>IFERROR(__xludf.DUMMYFUNCTION("""COMPUTED_VALUE"""),"GUNTING")</f>
        <v>GUNTING</v>
      </c>
      <c r="B424" s="34">
        <f>IFERROR(__xludf.DUMMYFUNCTION("""COMPUTED_VALUE"""),2.0)</f>
        <v>2</v>
      </c>
      <c r="C424" s="36">
        <f>IFERROR(__xludf.DUMMYFUNCTION("""COMPUTED_VALUE"""),46158.0)</f>
        <v>46158</v>
      </c>
      <c r="D424" s="34" t="str">
        <f>IFERROR(__xludf.DUMMYFUNCTION("""COMPUTED_VALUE"""),"AMIREL")</f>
        <v>AMIREL</v>
      </c>
    </row>
    <row r="425">
      <c r="A425" s="34" t="str">
        <f>IFERROR(__xludf.DUMMYFUNCTION("""COMPUTED_VALUE"""),"CAT EPODUR BRIGHT BLUE")</f>
        <v>CAT EPODUR BRIGHT BLUE</v>
      </c>
      <c r="B425" s="34">
        <f>IFERROR(__xludf.DUMMYFUNCTION("""COMPUTED_VALUE"""),5.0)</f>
        <v>5</v>
      </c>
      <c r="C425" s="36">
        <f>IFERROR(__xludf.DUMMYFUNCTION("""COMPUTED_VALUE"""),46159.0)</f>
        <v>46159</v>
      </c>
      <c r="D425" s="34" t="str">
        <f>IFERROR(__xludf.DUMMYFUNCTION("""COMPUTED_VALUE"""),"BAGAS")</f>
        <v>BAGAS</v>
      </c>
    </row>
    <row r="426">
      <c r="A426" s="34" t="str">
        <f>IFERROR(__xludf.DUMMYFUNCTION("""COMPUTED_VALUE"""),"CAT EPODUR BLACK")</f>
        <v>CAT EPODUR BLACK</v>
      </c>
      <c r="B426" s="34">
        <f>IFERROR(__xludf.DUMMYFUNCTION("""COMPUTED_VALUE"""),3.0)</f>
        <v>3</v>
      </c>
      <c r="C426" s="36">
        <f>IFERROR(__xludf.DUMMYFUNCTION("""COMPUTED_VALUE"""),46159.0)</f>
        <v>46159</v>
      </c>
      <c r="D426" s="34" t="str">
        <f>IFERROR(__xludf.DUMMYFUNCTION("""COMPUTED_VALUE"""),"BAGAS")</f>
        <v>BAGAS</v>
      </c>
    </row>
    <row r="427">
      <c r="A427" s="34" t="str">
        <f>IFERROR(__xludf.DUMMYFUNCTION("""COMPUTED_VALUE"""),"CAT EPODUR GREEN")</f>
        <v>CAT EPODUR GREEN</v>
      </c>
      <c r="B427" s="34">
        <f>IFERROR(__xludf.DUMMYFUNCTION("""COMPUTED_VALUE"""),1.0)</f>
        <v>1</v>
      </c>
      <c r="C427" s="36">
        <f>IFERROR(__xludf.DUMMYFUNCTION("""COMPUTED_VALUE"""),46159.0)</f>
        <v>46159</v>
      </c>
      <c r="D427" s="34" t="str">
        <f>IFERROR(__xludf.DUMMYFUNCTION("""COMPUTED_VALUE"""),"BAGAS")</f>
        <v>BAGAS</v>
      </c>
    </row>
    <row r="428">
      <c r="A428" s="34" t="str">
        <f>IFERROR(__xludf.DUMMYFUNCTION("""COMPUTED_VALUE"""),"KUAS ROLL BULU KECIL 4INC")</f>
        <v>KUAS ROLL BULU KECIL 4INC</v>
      </c>
      <c r="B428" s="34">
        <f>IFERROR(__xludf.DUMMYFUNCTION("""COMPUTED_VALUE"""),6.0)</f>
        <v>6</v>
      </c>
      <c r="C428" s="36">
        <f>IFERROR(__xludf.DUMMYFUNCTION("""COMPUTED_VALUE"""),46159.0)</f>
        <v>46159</v>
      </c>
      <c r="D428" s="34" t="str">
        <f>IFERROR(__xludf.DUMMYFUNCTION("""COMPUTED_VALUE"""),"BAGAS")</f>
        <v>BAGAS</v>
      </c>
    </row>
    <row r="429">
      <c r="A429" s="34" t="str">
        <f>IFERROR(__xludf.DUMMYFUNCTION("""COMPUTED_VALUE"""),"AQUAPROOF")</f>
        <v>AQUAPROOF</v>
      </c>
      <c r="B429" s="34">
        <f>IFERROR(__xludf.DUMMYFUNCTION("""COMPUTED_VALUE"""),4.0)</f>
        <v>4</v>
      </c>
      <c r="C429" s="36">
        <f>IFERROR(__xludf.DUMMYFUNCTION("""COMPUTED_VALUE"""),46159.0)</f>
        <v>46159</v>
      </c>
      <c r="D429" s="34" t="str">
        <f>IFERROR(__xludf.DUMMYFUNCTION("""COMPUTED_VALUE"""),"PRODUKSI")</f>
        <v>PRODUKSI</v>
      </c>
    </row>
    <row r="430">
      <c r="A430" s="34" t="str">
        <f>IFERROR(__xludf.DUMMYFUNCTION("""COMPUTED_VALUE"""),"CAT EPODUR GREEN")</f>
        <v>CAT EPODUR GREEN</v>
      </c>
      <c r="B430" s="34">
        <f>IFERROR(__xludf.DUMMYFUNCTION("""COMPUTED_VALUE"""),3.0)</f>
        <v>3</v>
      </c>
      <c r="C430" s="36">
        <f>IFERROR(__xludf.DUMMYFUNCTION("""COMPUTED_VALUE"""),46159.0)</f>
        <v>46159</v>
      </c>
      <c r="D430" s="34" t="str">
        <f>IFERROR(__xludf.DUMMYFUNCTION("""COMPUTED_VALUE"""),"ROY")</f>
        <v>ROY</v>
      </c>
    </row>
    <row r="431">
      <c r="A431" s="34" t="str">
        <f>IFERROR(__xludf.DUMMYFUNCTION("""COMPUTED_VALUE"""),"KUAS UKURAN 3 INC")</f>
        <v>KUAS UKURAN 3 INC</v>
      </c>
      <c r="B431" s="34">
        <f>IFERROR(__xludf.DUMMYFUNCTION("""COMPUTED_VALUE"""),2.0)</f>
        <v>2</v>
      </c>
      <c r="C431" s="36">
        <f>IFERROR(__xludf.DUMMYFUNCTION("""COMPUTED_VALUE"""),46159.0)</f>
        <v>46159</v>
      </c>
      <c r="D431" s="34" t="str">
        <f>IFERROR(__xludf.DUMMYFUNCTION("""COMPUTED_VALUE"""),"ROY")</f>
        <v>ROY</v>
      </c>
    </row>
    <row r="432">
      <c r="A432" s="34" t="str">
        <f>IFERROR(__xludf.DUMMYFUNCTION("""COMPUTED_VALUE"""),"KUAS ROLL BULU BESAR 9INC")</f>
        <v>KUAS ROLL BULU BESAR 9INC</v>
      </c>
      <c r="B432" s="34">
        <f>IFERROR(__xludf.DUMMYFUNCTION("""COMPUTED_VALUE"""),5.0)</f>
        <v>5</v>
      </c>
      <c r="C432" s="36">
        <f>IFERROR(__xludf.DUMMYFUNCTION("""COMPUTED_VALUE"""),46159.0)</f>
        <v>46159</v>
      </c>
      <c r="D432" s="34" t="str">
        <f>IFERROR(__xludf.DUMMYFUNCTION("""COMPUTED_VALUE"""),"ROY")</f>
        <v>ROY</v>
      </c>
    </row>
    <row r="433">
      <c r="A433" s="34" t="str">
        <f>IFERROR(__xludf.DUMMYFUNCTION("""COMPUTED_VALUE"""),"KUAS ROLL BULU KECIL 4INC")</f>
        <v>KUAS ROLL BULU KECIL 4INC</v>
      </c>
      <c r="B433" s="34">
        <f>IFERROR(__xludf.DUMMYFUNCTION("""COMPUTED_VALUE"""),4.0)</f>
        <v>4</v>
      </c>
      <c r="C433" s="36">
        <f>IFERROR(__xludf.DUMMYFUNCTION("""COMPUTED_VALUE"""),46159.0)</f>
        <v>46159</v>
      </c>
      <c r="D433" s="34" t="str">
        <f>IFERROR(__xludf.DUMMYFUNCTION("""COMPUTED_VALUE"""),"ROY")</f>
        <v>ROY</v>
      </c>
    </row>
    <row r="434">
      <c r="A434" s="34" t="str">
        <f>IFERROR(__xludf.DUMMYFUNCTION("""COMPUTED_VALUE"""),"KAIN KASA")</f>
        <v>KAIN KASA</v>
      </c>
      <c r="B434" s="34">
        <f>IFERROR(__xludf.DUMMYFUNCTION("""COMPUTED_VALUE"""),1.0)</f>
        <v>1</v>
      </c>
      <c r="C434" s="36">
        <f>IFERROR(__xludf.DUMMYFUNCTION("""COMPUTED_VALUE"""),46159.0)</f>
        <v>46159</v>
      </c>
      <c r="D434" s="34" t="str">
        <f>IFERROR(__xludf.DUMMYFUNCTION("""COMPUTED_VALUE"""),"MUH")</f>
        <v>MUH</v>
      </c>
    </row>
    <row r="435">
      <c r="A435" s="34" t="str">
        <f>IFERROR(__xludf.DUMMYFUNCTION("""COMPUTED_VALUE"""),"KUAS UKURAN 2 INC")</f>
        <v>KUAS UKURAN 2 INC</v>
      </c>
      <c r="B435" s="34">
        <f>IFERROR(__xludf.DUMMYFUNCTION("""COMPUTED_VALUE"""),1.0)</f>
        <v>1</v>
      </c>
      <c r="C435" s="36">
        <f>IFERROR(__xludf.DUMMYFUNCTION("""COMPUTED_VALUE"""),46159.0)</f>
        <v>46159</v>
      </c>
      <c r="D435" s="34" t="str">
        <f>IFERROR(__xludf.DUMMYFUNCTION("""COMPUTED_VALUE"""),"MUH")</f>
        <v>MUH</v>
      </c>
    </row>
    <row r="436">
      <c r="A436" s="34" t="str">
        <f>IFERROR(__xludf.DUMMYFUNCTION("""COMPUTED_VALUE"""),"CAT TEMBOK ARIES ( WHITE) 25 KG")</f>
        <v>CAT TEMBOK ARIES ( WHITE) 25 KG</v>
      </c>
      <c r="B436" s="34">
        <f>IFERROR(__xludf.DUMMYFUNCTION("""COMPUTED_VALUE"""),1.0)</f>
        <v>1</v>
      </c>
      <c r="C436" s="36">
        <f>IFERROR(__xludf.DUMMYFUNCTION("""COMPUTED_VALUE"""),46159.0)</f>
        <v>46159</v>
      </c>
      <c r="D436" s="34" t="str">
        <f>IFERROR(__xludf.DUMMYFUNCTION("""COMPUTED_VALUE"""),"ROY")</f>
        <v>ROY</v>
      </c>
    </row>
    <row r="437">
      <c r="A437" s="34" t="str">
        <f>IFERROR(__xludf.DUMMYFUNCTION("""COMPUTED_VALUE"""),"AIR MINERAL")</f>
        <v>AIR MINERAL</v>
      </c>
      <c r="B437" s="34">
        <f>IFERROR(__xludf.DUMMYFUNCTION("""COMPUTED_VALUE"""),24.0)</f>
        <v>24</v>
      </c>
      <c r="C437" s="36">
        <f>IFERROR(__xludf.DUMMYFUNCTION("""COMPUTED_VALUE"""),46159.0)</f>
        <v>46159</v>
      </c>
      <c r="D437" s="34" t="str">
        <f>IFERROR(__xludf.DUMMYFUNCTION("""COMPUTED_VALUE"""),"PANTRY")</f>
        <v>PANTRY</v>
      </c>
    </row>
    <row r="438">
      <c r="A438" s="34" t="str">
        <f>IFERROR(__xludf.DUMMYFUNCTION("""COMPUTED_VALUE"""),"GLADE ")</f>
        <v>GLADE </v>
      </c>
      <c r="B438" s="34">
        <f>IFERROR(__xludf.DUMMYFUNCTION("""COMPUTED_VALUE"""),1.0)</f>
        <v>1</v>
      </c>
      <c r="C438" s="36">
        <f>IFERROR(__xludf.DUMMYFUNCTION("""COMPUTED_VALUE"""),46159.0)</f>
        <v>46159</v>
      </c>
      <c r="D438" s="34" t="str">
        <f>IFERROR(__xludf.DUMMYFUNCTION("""COMPUTED_VALUE"""),"GA HERIYANTO")</f>
        <v>GA HERIYANTO</v>
      </c>
    </row>
    <row r="439">
      <c r="A439" s="34" t="str">
        <f>IFERROR(__xludf.DUMMYFUNCTION("""COMPUTED_VALUE"""),"LATEX SARUNG TANGAN ")</f>
        <v>LATEX SARUNG TANGAN </v>
      </c>
      <c r="B439" s="34">
        <f>IFERROR(__xludf.DUMMYFUNCTION("""COMPUTED_VALUE"""),1.0)</f>
        <v>1</v>
      </c>
      <c r="C439" s="36">
        <f>IFERROR(__xludf.DUMMYFUNCTION("""COMPUTED_VALUE"""),46160.0)</f>
        <v>46160</v>
      </c>
      <c r="D439" s="34" t="str">
        <f>IFERROR(__xludf.DUMMYFUNCTION("""COMPUTED_VALUE"""),"AINI")</f>
        <v>AINI</v>
      </c>
    </row>
    <row r="440">
      <c r="A440" s="34" t="str">
        <f>IFERROR(__xludf.DUMMYFUNCTION("""COMPUTED_VALUE"""),"MASKER")</f>
        <v>MASKER</v>
      </c>
      <c r="B440" s="34">
        <f>IFERROR(__xludf.DUMMYFUNCTION("""COMPUTED_VALUE"""),1.0)</f>
        <v>1</v>
      </c>
      <c r="C440" s="36">
        <f>IFERROR(__xludf.DUMMYFUNCTION("""COMPUTED_VALUE"""),46160.0)</f>
        <v>46160</v>
      </c>
      <c r="D440" s="34" t="str">
        <f>IFERROR(__xludf.DUMMYFUNCTION("""COMPUTED_VALUE"""),"AINI")</f>
        <v>AINI</v>
      </c>
    </row>
    <row r="441">
      <c r="A441" s="34" t="str">
        <f>IFERROR(__xludf.DUMMYFUNCTION("""COMPUTED_VALUE"""),"LATEX SARUNG TANGAN ")</f>
        <v>LATEX SARUNG TANGAN </v>
      </c>
      <c r="B441" s="34">
        <f>IFERROR(__xludf.DUMMYFUNCTION("""COMPUTED_VALUE"""),1.0)</f>
        <v>1</v>
      </c>
      <c r="C441" s="36">
        <f>IFERROR(__xludf.DUMMYFUNCTION("""COMPUTED_VALUE"""),46160.0)</f>
        <v>46160</v>
      </c>
      <c r="D441" s="34" t="str">
        <f>IFERROR(__xludf.DUMMYFUNCTION("""COMPUTED_VALUE"""),"AINI")</f>
        <v>AINI</v>
      </c>
    </row>
    <row r="442">
      <c r="A442" s="34" t="str">
        <f>IFERROR(__xludf.DUMMYFUNCTION("""COMPUTED_VALUE"""),"MASKER")</f>
        <v>MASKER</v>
      </c>
      <c r="B442" s="34">
        <f>IFERROR(__xludf.DUMMYFUNCTION("""COMPUTED_VALUE"""),1.0)</f>
        <v>1</v>
      </c>
      <c r="C442" s="36">
        <f>IFERROR(__xludf.DUMMYFUNCTION("""COMPUTED_VALUE"""),46160.0)</f>
        <v>46160</v>
      </c>
      <c r="D442" s="34" t="str">
        <f>IFERROR(__xludf.DUMMYFUNCTION("""COMPUTED_VALUE"""),"AINI")</f>
        <v>AINI</v>
      </c>
    </row>
    <row r="443">
      <c r="A443" s="34" t="str">
        <f>IFERROR(__xludf.DUMMYFUNCTION("""COMPUTED_VALUE"""),"TISSUE")</f>
        <v>TISSUE</v>
      </c>
      <c r="B443" s="34">
        <f>IFERROR(__xludf.DUMMYFUNCTION("""COMPUTED_VALUE"""),3.0)</f>
        <v>3</v>
      </c>
      <c r="C443" s="36">
        <f>IFERROR(__xludf.DUMMYFUNCTION("""COMPUTED_VALUE"""),46160.0)</f>
        <v>46160</v>
      </c>
      <c r="D443" s="34" t="str">
        <f>IFERROR(__xludf.DUMMYFUNCTION("""COMPUTED_VALUE"""),"PANTRY")</f>
        <v>PANTRY</v>
      </c>
    </row>
    <row r="444">
      <c r="A444" s="34" t="str">
        <f>IFERROR(__xludf.DUMMYFUNCTION("""COMPUTED_VALUE"""),"AIR MINERAL")</f>
        <v>AIR MINERAL</v>
      </c>
      <c r="B444" s="34">
        <f>IFERROR(__xludf.DUMMYFUNCTION("""COMPUTED_VALUE"""),24.0)</f>
        <v>24</v>
      </c>
      <c r="C444" s="36">
        <f>IFERROR(__xludf.DUMMYFUNCTION("""COMPUTED_VALUE"""),46160.0)</f>
        <v>46160</v>
      </c>
      <c r="D444" s="34" t="str">
        <f>IFERROR(__xludf.DUMMYFUNCTION("""COMPUTED_VALUE"""),"PANTRY")</f>
        <v>PANTRY</v>
      </c>
    </row>
    <row r="445">
      <c r="A445" s="34" t="str">
        <f>IFERROR(__xludf.DUMMYFUNCTION("""COMPUTED_VALUE"""),"MINYAK KAYU PUTIH")</f>
        <v>MINYAK KAYU PUTIH</v>
      </c>
      <c r="B445" s="34">
        <f>IFERROR(__xludf.DUMMYFUNCTION("""COMPUTED_VALUE"""),1.0)</f>
        <v>1</v>
      </c>
      <c r="C445" s="36">
        <f>IFERROR(__xludf.DUMMYFUNCTION("""COMPUTED_VALUE"""),46160.0)</f>
        <v>46160</v>
      </c>
      <c r="D445" s="34" t="str">
        <f>IFERROR(__xludf.DUMMYFUNCTION("""COMPUTED_VALUE"""),"GA")</f>
        <v>GA</v>
      </c>
    </row>
    <row r="446">
      <c r="A446" s="34" t="str">
        <f>IFERROR(__xludf.DUMMYFUNCTION("""COMPUTED_VALUE"""),"TISSUE")</f>
        <v>TISSUE</v>
      </c>
      <c r="B446" s="34">
        <f>IFERROR(__xludf.DUMMYFUNCTION("""COMPUTED_VALUE"""),1.0)</f>
        <v>1</v>
      </c>
      <c r="C446" s="36">
        <f>IFERROR(__xludf.DUMMYFUNCTION("""COMPUTED_VALUE"""),46160.0)</f>
        <v>46160</v>
      </c>
      <c r="D446" s="34" t="str">
        <f>IFERROR(__xludf.DUMMYFUNCTION("""COMPUTED_VALUE"""),"GA ")</f>
        <v>GA </v>
      </c>
    </row>
    <row r="447">
      <c r="A447" s="34" t="str">
        <f>IFERROR(__xludf.DUMMYFUNCTION("""COMPUTED_VALUE"""),"LAMPU HANNOCHS 32W")</f>
        <v>LAMPU HANNOCHS 32W</v>
      </c>
      <c r="B447" s="34">
        <f>IFERROR(__xludf.DUMMYFUNCTION("""COMPUTED_VALUE"""),1.0)</f>
        <v>1</v>
      </c>
      <c r="C447" s="36">
        <f>IFERROR(__xludf.DUMMYFUNCTION("""COMPUTED_VALUE"""),46160.0)</f>
        <v>46160</v>
      </c>
      <c r="D447" s="34" t="str">
        <f>IFERROR(__xludf.DUMMYFUNCTION("""COMPUTED_VALUE"""),"D8")</f>
        <v>D8</v>
      </c>
    </row>
    <row r="448">
      <c r="A448" s="34" t="str">
        <f>IFERROR(__xludf.DUMMYFUNCTION("""COMPUTED_VALUE"""),"MASKER")</f>
        <v>MASKER</v>
      </c>
      <c r="B448" s="34">
        <f>IFERROR(__xludf.DUMMYFUNCTION("""COMPUTED_VALUE"""),1.0)</f>
        <v>1</v>
      </c>
      <c r="C448" s="36">
        <f>IFERROR(__xludf.DUMMYFUNCTION("""COMPUTED_VALUE"""),46160.0)</f>
        <v>46160</v>
      </c>
      <c r="D448" s="34" t="str">
        <f>IFERROR(__xludf.DUMMYFUNCTION("""COMPUTED_VALUE"""),"BAGAS")</f>
        <v>BAGAS</v>
      </c>
    </row>
    <row r="449">
      <c r="A449" s="34" t="str">
        <f>IFERROR(__xludf.DUMMYFUNCTION("""COMPUTED_VALUE"""),"KERTAS HVS A4")</f>
        <v>KERTAS HVS A4</v>
      </c>
      <c r="B449" s="34">
        <f>IFERROR(__xludf.DUMMYFUNCTION("""COMPUTED_VALUE"""),2.0)</f>
        <v>2</v>
      </c>
      <c r="C449" s="36">
        <f>IFERROR(__xludf.DUMMYFUNCTION("""COMPUTED_VALUE"""),46160.0)</f>
        <v>46160</v>
      </c>
      <c r="D449" s="34" t="str">
        <f>IFERROR(__xludf.DUMMYFUNCTION("""COMPUTED_VALUE"""),"AMANIAH")</f>
        <v>AMANIAH</v>
      </c>
    </row>
    <row r="450">
      <c r="A450" s="34" t="str">
        <f>IFERROR(__xludf.DUMMYFUNCTION("""COMPUTED_VALUE"""),"LABEL NIIMBOT D11 UKURAN 12 X 22 MM ")</f>
        <v>LABEL NIIMBOT D11 UKURAN 12 X 22 MM </v>
      </c>
      <c r="B450" s="34">
        <f>IFERROR(__xludf.DUMMYFUNCTION("""COMPUTED_VALUE"""),1.0)</f>
        <v>1</v>
      </c>
      <c r="C450" s="36">
        <f>IFERROR(__xludf.DUMMYFUNCTION("""COMPUTED_VALUE"""),46160.0)</f>
        <v>46160</v>
      </c>
      <c r="D450" s="34" t="str">
        <f>IFERROR(__xludf.DUMMYFUNCTION("""COMPUTED_VALUE"""),"AMANIAH")</f>
        <v>AMANIAH</v>
      </c>
    </row>
    <row r="451">
      <c r="A451" s="34" t="str">
        <f>IFERROR(__xludf.DUMMYFUNCTION("""COMPUTED_VALUE"""),"SALONPAS")</f>
        <v>SALONPAS</v>
      </c>
      <c r="B451" s="34">
        <f>IFERROR(__xludf.DUMMYFUNCTION("""COMPUTED_VALUE"""),1.0)</f>
        <v>1</v>
      </c>
      <c r="C451" s="36">
        <f>IFERROR(__xludf.DUMMYFUNCTION("""COMPUTED_VALUE"""),46160.0)</f>
        <v>46160</v>
      </c>
      <c r="D451" s="34" t="str">
        <f>IFERROR(__xludf.DUMMYFUNCTION("""COMPUTED_VALUE"""),"AMANIAH")</f>
        <v>AMANIAH</v>
      </c>
    </row>
    <row r="452">
      <c r="A452" s="34" t="str">
        <f>IFERROR(__xludf.DUMMYFUNCTION("""COMPUTED_VALUE"""),"LAMPU HANNOCHS 13W")</f>
        <v>LAMPU HANNOCHS 13W</v>
      </c>
      <c r="B452" s="34">
        <f>IFERROR(__xludf.DUMMYFUNCTION("""COMPUTED_VALUE"""),1.0)</f>
        <v>1</v>
      </c>
      <c r="C452" s="36">
        <f>IFERROR(__xludf.DUMMYFUNCTION("""COMPUTED_VALUE"""),46160.0)</f>
        <v>46160</v>
      </c>
      <c r="D452" s="34" t="str">
        <f>IFERROR(__xludf.DUMMYFUNCTION("""COMPUTED_VALUE"""),"GA MUH")</f>
        <v>GA MUH</v>
      </c>
    </row>
    <row r="453">
      <c r="A453" s="34" t="str">
        <f>IFERROR(__xludf.DUMMYFUNCTION("""COMPUTED_VALUE"""),"BIOPLASENTO")</f>
        <v>BIOPLASENTO</v>
      </c>
      <c r="B453" s="34">
        <f>IFERROR(__xludf.DUMMYFUNCTION("""COMPUTED_VALUE"""),1.0)</f>
        <v>1</v>
      </c>
      <c r="C453" s="36">
        <f>IFERROR(__xludf.DUMMYFUNCTION("""COMPUTED_VALUE"""),46160.0)</f>
        <v>46160</v>
      </c>
      <c r="D453" s="34" t="str">
        <f>IFERROR(__xludf.DUMMYFUNCTION("""COMPUTED_VALUE"""),"PRODUKSI")</f>
        <v>PRODUKSI</v>
      </c>
    </row>
    <row r="454">
      <c r="A454" s="34" t="str">
        <f>IFERROR(__xludf.DUMMYFUNCTION("""COMPUTED_VALUE"""),"LATEX SARUNG TANGAN ")</f>
        <v>LATEX SARUNG TANGAN </v>
      </c>
      <c r="B454" s="34">
        <f>IFERROR(__xludf.DUMMYFUNCTION("""COMPUTED_VALUE"""),1.0)</f>
        <v>1</v>
      </c>
      <c r="C454" s="36">
        <f>IFERROR(__xludf.DUMMYFUNCTION("""COMPUTED_VALUE"""),46160.0)</f>
        <v>46160</v>
      </c>
      <c r="D454" s="34" t="str">
        <f>IFERROR(__xludf.DUMMYFUNCTION("""COMPUTED_VALUE"""),"DANI")</f>
        <v>DANI</v>
      </c>
    </row>
    <row r="455">
      <c r="A455" s="34" t="str">
        <f>IFERROR(__xludf.DUMMYFUNCTION("""COMPUTED_VALUE"""),"MASKER")</f>
        <v>MASKER</v>
      </c>
      <c r="B455" s="34">
        <f>IFERROR(__xludf.DUMMYFUNCTION("""COMPUTED_VALUE"""),1.0)</f>
        <v>1</v>
      </c>
      <c r="C455" s="36">
        <f>IFERROR(__xludf.DUMMYFUNCTION("""COMPUTED_VALUE"""),46160.0)</f>
        <v>46160</v>
      </c>
      <c r="D455" s="34" t="str">
        <f>IFERROR(__xludf.DUMMYFUNCTION("""COMPUTED_VALUE"""),"DANI")</f>
        <v>DANI</v>
      </c>
    </row>
    <row r="456">
      <c r="A456" s="34" t="str">
        <f>IFERROR(__xludf.DUMMYFUNCTION("""COMPUTED_VALUE"""),"MASKER")</f>
        <v>MASKER</v>
      </c>
      <c r="B456" s="34">
        <f>IFERROR(__xludf.DUMMYFUNCTION("""COMPUTED_VALUE"""),1.0)</f>
        <v>1</v>
      </c>
      <c r="C456" s="36">
        <f>IFERROR(__xludf.DUMMYFUNCTION("""COMPUTED_VALUE"""),46161.0)</f>
        <v>46161</v>
      </c>
      <c r="D456" s="34" t="str">
        <f>IFERROR(__xludf.DUMMYFUNCTION("""COMPUTED_VALUE"""),"ANISA")</f>
        <v>ANISA</v>
      </c>
    </row>
    <row r="457">
      <c r="A457" s="34" t="str">
        <f>IFERROR(__xludf.DUMMYFUNCTION("""COMPUTED_VALUE"""),"TISSUE")</f>
        <v>TISSUE</v>
      </c>
      <c r="B457" s="34">
        <f>IFERROR(__xludf.DUMMYFUNCTION("""COMPUTED_VALUE"""),1.0)</f>
        <v>1</v>
      </c>
      <c r="C457" s="36">
        <f>IFERROR(__xludf.DUMMYFUNCTION("""COMPUTED_VALUE"""),46161.0)</f>
        <v>46161</v>
      </c>
      <c r="D457" s="34" t="str">
        <f>IFERROR(__xludf.DUMMYFUNCTION("""COMPUTED_VALUE"""),"ANISA")</f>
        <v>ANISA</v>
      </c>
    </row>
    <row r="458">
      <c r="A458" s="34" t="str">
        <f>IFERROR(__xludf.DUMMYFUNCTION("""COMPUTED_VALUE"""),"MASKER")</f>
        <v>MASKER</v>
      </c>
      <c r="B458" s="34">
        <f>IFERROR(__xludf.DUMMYFUNCTION("""COMPUTED_VALUE"""),1.0)</f>
        <v>1</v>
      </c>
      <c r="C458" s="36">
        <f>IFERROR(__xludf.DUMMYFUNCTION("""COMPUTED_VALUE"""),46161.0)</f>
        <v>46161</v>
      </c>
      <c r="D458" s="34" t="str">
        <f>IFERROR(__xludf.DUMMYFUNCTION("""COMPUTED_VALUE"""),"ANISA")</f>
        <v>ANISA</v>
      </c>
    </row>
    <row r="459">
      <c r="A459" s="34" t="str">
        <f>IFERROR(__xludf.DUMMYFUNCTION("""COMPUTED_VALUE"""),"DELI PENA MEJA PULPEN PEN SMILE DESK PEN STAND 0.7MM - HITAM")</f>
        <v>DELI PENA MEJA PULPEN PEN SMILE DESK PEN STAND 0.7MM - HITAM</v>
      </c>
      <c r="B459" s="34">
        <f>IFERROR(__xludf.DUMMYFUNCTION("""COMPUTED_VALUE"""),2.0)</f>
        <v>2</v>
      </c>
      <c r="C459" s="36">
        <f>IFERROR(__xludf.DUMMYFUNCTION("""COMPUTED_VALUE"""),46161.0)</f>
        <v>46161</v>
      </c>
      <c r="D459" s="34" t="str">
        <f>IFERROR(__xludf.DUMMYFUNCTION("""COMPUTED_VALUE"""),"AMIREL")</f>
        <v>AMIREL</v>
      </c>
    </row>
    <row r="460">
      <c r="A460" s="34" t="str">
        <f>IFERROR(__xludf.DUMMYFUNCTION("""COMPUTED_VALUE"""),"PULPEN HITAM")</f>
        <v>PULPEN HITAM</v>
      </c>
      <c r="B460" s="34">
        <f>IFERROR(__xludf.DUMMYFUNCTION("""COMPUTED_VALUE"""),2.0)</f>
        <v>2</v>
      </c>
      <c r="C460" s="36">
        <f>IFERROR(__xludf.DUMMYFUNCTION("""COMPUTED_VALUE"""),46161.0)</f>
        <v>46161</v>
      </c>
      <c r="D460" s="34" t="str">
        <f>IFERROR(__xludf.DUMMYFUNCTION("""COMPUTED_VALUE"""),"AMIREL")</f>
        <v>AMIREL</v>
      </c>
    </row>
    <row r="461">
      <c r="A461" s="34" t="str">
        <f>IFERROR(__xludf.DUMMYFUNCTION("""COMPUTED_VALUE"""),"PARACETAMOL")</f>
        <v>PARACETAMOL</v>
      </c>
      <c r="B461" s="34">
        <f>IFERROR(__xludf.DUMMYFUNCTION("""COMPUTED_VALUE"""),1.0)</f>
        <v>1</v>
      </c>
      <c r="C461" s="36">
        <f>IFERROR(__xludf.DUMMYFUNCTION("""COMPUTED_VALUE"""),46161.0)</f>
        <v>46161</v>
      </c>
      <c r="D461" s="34" t="str">
        <f>IFERROR(__xludf.DUMMYFUNCTION("""COMPUTED_VALUE"""),"AMIREL")</f>
        <v>AMIREL</v>
      </c>
    </row>
    <row r="462">
      <c r="A462" s="34" t="str">
        <f>IFERROR(__xludf.DUMMYFUNCTION("""COMPUTED_VALUE"""),"BOX FILE BINDEX")</f>
        <v>BOX FILE BINDEX</v>
      </c>
      <c r="B462" s="34">
        <f>IFERROR(__xludf.DUMMYFUNCTION("""COMPUTED_VALUE"""),1.0)</f>
        <v>1</v>
      </c>
      <c r="C462" s="36">
        <f>IFERROR(__xludf.DUMMYFUNCTION("""COMPUTED_VALUE"""),46161.0)</f>
        <v>46161</v>
      </c>
      <c r="D462" s="34" t="str">
        <f>IFERROR(__xludf.DUMMYFUNCTION("""COMPUTED_VALUE"""),"AMIREL")</f>
        <v>AMIREL</v>
      </c>
    </row>
    <row r="463">
      <c r="A463" s="34" t="str">
        <f>IFERROR(__xludf.DUMMYFUNCTION("""COMPUTED_VALUE"""),"LATEX SARUNG TANGAN ")</f>
        <v>LATEX SARUNG TANGAN </v>
      </c>
      <c r="B463" s="34">
        <f>IFERROR(__xludf.DUMMYFUNCTION("""COMPUTED_VALUE"""),1.0)</f>
        <v>1</v>
      </c>
      <c r="C463" s="36">
        <f>IFERROR(__xludf.DUMMYFUNCTION("""COMPUTED_VALUE"""),46161.0)</f>
        <v>46161</v>
      </c>
      <c r="D463" s="34" t="str">
        <f>IFERROR(__xludf.DUMMYFUNCTION("""COMPUTED_VALUE"""),"DANI")</f>
        <v>DANI</v>
      </c>
    </row>
    <row r="464">
      <c r="A464" s="34" t="str">
        <f>IFERROR(__xludf.DUMMYFUNCTION("""COMPUTED_VALUE"""),"MASKER")</f>
        <v>MASKER</v>
      </c>
      <c r="B464" s="34">
        <f>IFERROR(__xludf.DUMMYFUNCTION("""COMPUTED_VALUE"""),1.0)</f>
        <v>1</v>
      </c>
      <c r="C464" s="36">
        <f>IFERROR(__xludf.DUMMYFUNCTION("""COMPUTED_VALUE"""),46161.0)</f>
        <v>46161</v>
      </c>
      <c r="D464" s="34" t="str">
        <f>IFERROR(__xludf.DUMMYFUNCTION("""COMPUTED_VALUE"""),"DANI")</f>
        <v>DANI</v>
      </c>
    </row>
    <row r="465">
      <c r="A465" s="34" t="str">
        <f>IFERROR(__xludf.DUMMYFUNCTION("""COMPUTED_VALUE"""),"LATEX SARUNG TANGAN ")</f>
        <v>LATEX SARUNG TANGAN </v>
      </c>
      <c r="B465" s="34">
        <f>IFERROR(__xludf.DUMMYFUNCTION("""COMPUTED_VALUE"""),1.0)</f>
        <v>1</v>
      </c>
      <c r="C465" s="36">
        <f>IFERROR(__xludf.DUMMYFUNCTION("""COMPUTED_VALUE"""),46161.0)</f>
        <v>46161</v>
      </c>
      <c r="D465" s="34" t="str">
        <f>IFERROR(__xludf.DUMMYFUNCTION("""COMPUTED_VALUE"""),"DEVICE")</f>
        <v>DEVICE</v>
      </c>
    </row>
    <row r="466">
      <c r="A466" s="34" t="str">
        <f>IFERROR(__xludf.DUMMYFUNCTION("""COMPUTED_VALUE"""),"MASKER")</f>
        <v>MASKER</v>
      </c>
      <c r="B466" s="34">
        <f>IFERROR(__xludf.DUMMYFUNCTION("""COMPUTED_VALUE"""),1.0)</f>
        <v>1</v>
      </c>
      <c r="C466" s="36">
        <f>IFERROR(__xludf.DUMMYFUNCTION("""COMPUTED_VALUE"""),46161.0)</f>
        <v>46161</v>
      </c>
      <c r="D466" s="34" t="str">
        <f>IFERROR(__xludf.DUMMYFUNCTION("""COMPUTED_VALUE"""),"DEVICE")</f>
        <v>DEVICE</v>
      </c>
    </row>
    <row r="467">
      <c r="A467" s="34" t="str">
        <f>IFERROR(__xludf.DUMMYFUNCTION("""COMPUTED_VALUE"""),"TISSUE")</f>
        <v>TISSUE</v>
      </c>
      <c r="B467" s="34">
        <f>IFERROR(__xludf.DUMMYFUNCTION("""COMPUTED_VALUE"""),1.0)</f>
        <v>1</v>
      </c>
      <c r="C467" s="36">
        <f>IFERROR(__xludf.DUMMYFUNCTION("""COMPUTED_VALUE"""),46161.0)</f>
        <v>46161</v>
      </c>
      <c r="D467" s="34" t="str">
        <f>IFERROR(__xludf.DUMMYFUNCTION("""COMPUTED_VALUE"""),"DEVICE")</f>
        <v>DEVICE</v>
      </c>
    </row>
    <row r="468">
      <c r="A468" s="34" t="str">
        <f>IFERROR(__xludf.DUMMYFUNCTION("""COMPUTED_VALUE"""),"MASKER")</f>
        <v>MASKER</v>
      </c>
      <c r="B468" s="34">
        <f>IFERROR(__xludf.DUMMYFUNCTION("""COMPUTED_VALUE"""),1.0)</f>
        <v>1</v>
      </c>
      <c r="C468" s="36">
        <f>IFERROR(__xludf.DUMMYFUNCTION("""COMPUTED_VALUE"""),46161.0)</f>
        <v>46161</v>
      </c>
      <c r="D468" s="34" t="str">
        <f>IFERROR(__xludf.DUMMYFUNCTION("""COMPUTED_VALUE"""),"ANISA")</f>
        <v>ANISA</v>
      </c>
    </row>
    <row r="469">
      <c r="A469" s="34" t="str">
        <f>IFERROR(__xludf.DUMMYFUNCTION("""COMPUTED_VALUE"""),"TISSUE")</f>
        <v>TISSUE</v>
      </c>
      <c r="B469" s="34">
        <f>IFERROR(__xludf.DUMMYFUNCTION("""COMPUTED_VALUE"""),1.0)</f>
        <v>1</v>
      </c>
      <c r="C469" s="36">
        <f>IFERROR(__xludf.DUMMYFUNCTION("""COMPUTED_VALUE"""),46161.0)</f>
        <v>46161</v>
      </c>
      <c r="D469" s="34" t="str">
        <f>IFERROR(__xludf.DUMMYFUNCTION("""COMPUTED_VALUE"""),"ANISA")</f>
        <v>ANISA</v>
      </c>
    </row>
    <row r="470">
      <c r="A470" s="34" t="str">
        <f>IFERROR(__xludf.DUMMYFUNCTION("""COMPUTED_VALUE"""),"MASKER")</f>
        <v>MASKER</v>
      </c>
      <c r="B470" s="34">
        <f>IFERROR(__xludf.DUMMYFUNCTION("""COMPUTED_VALUE"""),1.0)</f>
        <v>1</v>
      </c>
      <c r="C470" s="36">
        <f>IFERROR(__xludf.DUMMYFUNCTION("""COMPUTED_VALUE"""),46161.0)</f>
        <v>46161</v>
      </c>
      <c r="D470" s="34" t="str">
        <f>IFERROR(__xludf.DUMMYFUNCTION("""COMPUTED_VALUE"""),"ANISA")</f>
        <v>ANISA</v>
      </c>
    </row>
    <row r="471">
      <c r="A471" s="34" t="str">
        <f>IFERROR(__xludf.DUMMYFUNCTION("""COMPUTED_VALUE"""),"SUSU ")</f>
        <v>SUSU </v>
      </c>
      <c r="B471" s="34">
        <f>IFERROR(__xludf.DUMMYFUNCTION("""COMPUTED_VALUE"""),72.0)</f>
        <v>72</v>
      </c>
      <c r="C471" s="36">
        <f>IFERROR(__xludf.DUMMYFUNCTION("""COMPUTED_VALUE"""),46161.0)</f>
        <v>46161</v>
      </c>
      <c r="D471" s="34" t="str">
        <f>IFERROR(__xludf.DUMMYFUNCTION("""COMPUTED_VALUE"""),"PANTRY")</f>
        <v>PANTRY</v>
      </c>
    </row>
    <row r="472">
      <c r="A472" s="34" t="str">
        <f>IFERROR(__xludf.DUMMYFUNCTION("""COMPUTED_VALUE"""),"AIR MINERAL")</f>
        <v>AIR MINERAL</v>
      </c>
      <c r="B472" s="34">
        <f>IFERROR(__xludf.DUMMYFUNCTION("""COMPUTED_VALUE"""),24.0)</f>
        <v>24</v>
      </c>
      <c r="C472" s="36">
        <f>IFERROR(__xludf.DUMMYFUNCTION("""COMPUTED_VALUE"""),46161.0)</f>
        <v>46161</v>
      </c>
      <c r="D472" s="34" t="str">
        <f>IFERROR(__xludf.DUMMYFUNCTION("""COMPUTED_VALUE"""),"PANTRY")</f>
        <v>PANTRY</v>
      </c>
    </row>
    <row r="473">
      <c r="A473" s="34" t="str">
        <f>IFERROR(__xludf.DUMMYFUNCTION("""COMPUTED_VALUE"""),"TISSUE")</f>
        <v>TISSUE</v>
      </c>
      <c r="B473" s="34">
        <f>IFERROR(__xludf.DUMMYFUNCTION("""COMPUTED_VALUE"""),1.0)</f>
        <v>1</v>
      </c>
      <c r="C473" s="36">
        <f>IFERROR(__xludf.DUMMYFUNCTION("""COMPUTED_VALUE"""),46161.0)</f>
        <v>46161</v>
      </c>
      <c r="D473" s="34" t="str">
        <f>IFERROR(__xludf.DUMMYFUNCTION("""COMPUTED_VALUE"""),"ANISA")</f>
        <v>ANISA</v>
      </c>
    </row>
    <row r="474">
      <c r="A474" s="34" t="str">
        <f>IFERROR(__xludf.DUMMYFUNCTION("""COMPUTED_VALUE"""),"MASKER")</f>
        <v>MASKER</v>
      </c>
      <c r="B474" s="34">
        <f>IFERROR(__xludf.DUMMYFUNCTION("""COMPUTED_VALUE"""),1.0)</f>
        <v>1</v>
      </c>
      <c r="C474" s="36">
        <f>IFERROR(__xludf.DUMMYFUNCTION("""COMPUTED_VALUE"""),46162.0)</f>
        <v>46162</v>
      </c>
      <c r="D474" s="34" t="str">
        <f>IFERROR(__xludf.DUMMYFUNCTION("""COMPUTED_VALUE"""),"RIJAL")</f>
        <v>RIJAL</v>
      </c>
    </row>
    <row r="475">
      <c r="A475" s="34" t="str">
        <f>IFERROR(__xludf.DUMMYFUNCTION("""COMPUTED_VALUE"""),"LATEX SARUNG TANGAN ")</f>
        <v>LATEX SARUNG TANGAN </v>
      </c>
      <c r="B475" s="34">
        <f>IFERROR(__xludf.DUMMYFUNCTION("""COMPUTED_VALUE"""),1.0)</f>
        <v>1</v>
      </c>
      <c r="C475" s="36">
        <f>IFERROR(__xludf.DUMMYFUNCTION("""COMPUTED_VALUE"""),46162.0)</f>
        <v>46162</v>
      </c>
      <c r="D475" s="34" t="str">
        <f>IFERROR(__xludf.DUMMYFUNCTION("""COMPUTED_VALUE"""),"RIJAL")</f>
        <v>RIJAL</v>
      </c>
    </row>
    <row r="476">
      <c r="A476" s="34" t="str">
        <f>IFERROR(__xludf.DUMMYFUNCTION("""COMPUTED_VALUE"""),"KUAS UKURAN 2 INC")</f>
        <v>KUAS UKURAN 2 INC</v>
      </c>
      <c r="B476" s="34">
        <f>IFERROR(__xludf.DUMMYFUNCTION("""COMPUTED_VALUE"""),1.0)</f>
        <v>1</v>
      </c>
      <c r="C476" s="36">
        <f>IFERROR(__xludf.DUMMYFUNCTION("""COMPUTED_VALUE"""),46162.0)</f>
        <v>46162</v>
      </c>
      <c r="D476" s="34" t="str">
        <f>IFERROR(__xludf.DUMMYFUNCTION("""COMPUTED_VALUE"""),"FAREL")</f>
        <v>FAREL</v>
      </c>
    </row>
    <row r="477">
      <c r="A477" s="34" t="str">
        <f>IFERROR(__xludf.DUMMYFUNCTION("""COMPUTED_VALUE"""),"BATU BATERAI A3")</f>
        <v>BATU BATERAI A3</v>
      </c>
      <c r="B477" s="34">
        <f>IFERROR(__xludf.DUMMYFUNCTION("""COMPUTED_VALUE"""),2.0)</f>
        <v>2</v>
      </c>
      <c r="C477" s="36">
        <f>IFERROR(__xludf.DUMMYFUNCTION("""COMPUTED_VALUE"""),46162.0)</f>
        <v>46162</v>
      </c>
      <c r="D477" s="34" t="str">
        <f>IFERROR(__xludf.DUMMYFUNCTION("""COMPUTED_VALUE"""),"DEBY")</f>
        <v>DEBY</v>
      </c>
    </row>
    <row r="478">
      <c r="A478" s="34" t="str">
        <f>IFERROR(__xludf.DUMMYFUNCTION("""COMPUTED_VALUE"""),"AIR MINERAL")</f>
        <v>AIR MINERAL</v>
      </c>
      <c r="B478" s="34">
        <f>IFERROR(__xludf.DUMMYFUNCTION("""COMPUTED_VALUE"""),48.0)</f>
        <v>48</v>
      </c>
      <c r="C478" s="36">
        <f>IFERROR(__xludf.DUMMYFUNCTION("""COMPUTED_VALUE"""),46162.0)</f>
        <v>46162</v>
      </c>
      <c r="D478" s="34" t="str">
        <f>IFERROR(__xludf.DUMMYFUNCTION("""COMPUTED_VALUE"""),"FAREL")</f>
        <v>FAREL</v>
      </c>
    </row>
    <row r="479">
      <c r="A479" s="34" t="str">
        <f>IFERROR(__xludf.DUMMYFUNCTION("""COMPUTED_VALUE"""),"TEH BOTOL")</f>
        <v>TEH BOTOL</v>
      </c>
      <c r="B479" s="34">
        <f>IFERROR(__xludf.DUMMYFUNCTION("""COMPUTED_VALUE"""),48.0)</f>
        <v>48</v>
      </c>
      <c r="C479" s="36">
        <f>IFERROR(__xludf.DUMMYFUNCTION("""COMPUTED_VALUE"""),46162.0)</f>
        <v>46162</v>
      </c>
      <c r="D479" s="34" t="str">
        <f>IFERROR(__xludf.DUMMYFUNCTION("""COMPUTED_VALUE"""),"FAREL")</f>
        <v>FAREL</v>
      </c>
    </row>
    <row r="480">
      <c r="A480" s="34" t="str">
        <f>IFERROR(__xludf.DUMMYFUNCTION("""COMPUTED_VALUE"""),"TISSUE")</f>
        <v>TISSUE</v>
      </c>
      <c r="B480" s="34">
        <f>IFERROR(__xludf.DUMMYFUNCTION("""COMPUTED_VALUE"""),2.0)</f>
        <v>2</v>
      </c>
      <c r="C480" s="36">
        <f>IFERROR(__xludf.DUMMYFUNCTION("""COMPUTED_VALUE"""),46162.0)</f>
        <v>46162</v>
      </c>
      <c r="D480" s="34" t="str">
        <f>IFERROR(__xludf.DUMMYFUNCTION("""COMPUTED_VALUE"""),"PANTRY")</f>
        <v>PANTRY</v>
      </c>
    </row>
    <row r="481">
      <c r="A481" s="34" t="str">
        <f>IFERROR(__xludf.DUMMYFUNCTION("""COMPUTED_VALUE"""),"MASKER")</f>
        <v>MASKER</v>
      </c>
      <c r="B481" s="34">
        <f>IFERROR(__xludf.DUMMYFUNCTION("""COMPUTED_VALUE"""),1.0)</f>
        <v>1</v>
      </c>
      <c r="C481" s="36">
        <f>IFERROR(__xludf.DUMMYFUNCTION("""COMPUTED_VALUE"""),46162.0)</f>
        <v>46162</v>
      </c>
      <c r="D481" s="34" t="str">
        <f>IFERROR(__xludf.DUMMYFUNCTION("""COMPUTED_VALUE"""),"DANI")</f>
        <v>DANI</v>
      </c>
    </row>
    <row r="482">
      <c r="A482" s="34" t="str">
        <f>IFERROR(__xludf.DUMMYFUNCTION("""COMPUTED_VALUE"""),"LATEX SARUNG TANGAN ")</f>
        <v>LATEX SARUNG TANGAN </v>
      </c>
      <c r="B482" s="34">
        <f>IFERROR(__xludf.DUMMYFUNCTION("""COMPUTED_VALUE"""),1.0)</f>
        <v>1</v>
      </c>
      <c r="C482" s="36">
        <f>IFERROR(__xludf.DUMMYFUNCTION("""COMPUTED_VALUE"""),46162.0)</f>
        <v>46162</v>
      </c>
      <c r="D482" s="34" t="str">
        <f>IFERROR(__xludf.DUMMYFUNCTION("""COMPUTED_VALUE"""),"DANI")</f>
        <v>DANI</v>
      </c>
    </row>
    <row r="483">
      <c r="A483" s="34" t="str">
        <f>IFERROR(__xludf.DUMMYFUNCTION("""COMPUTED_VALUE"""),"MASKER")</f>
        <v>MASKER</v>
      </c>
      <c r="B483" s="34">
        <f>IFERROR(__xludf.DUMMYFUNCTION("""COMPUTED_VALUE"""),1.0)</f>
        <v>1</v>
      </c>
      <c r="C483" s="36">
        <f>IFERROR(__xludf.DUMMYFUNCTION("""COMPUTED_VALUE"""),46163.0)</f>
        <v>46163</v>
      </c>
      <c r="D483" s="34" t="str">
        <f>IFERROR(__xludf.DUMMYFUNCTION("""COMPUTED_VALUE"""),"BAGAS")</f>
        <v>BAGAS</v>
      </c>
    </row>
    <row r="484">
      <c r="A484" s="34" t="str">
        <f>IFERROR(__xludf.DUMMYFUNCTION("""COMPUTED_VALUE"""),"LATEX SARUNG TANGAN ")</f>
        <v>LATEX SARUNG TANGAN </v>
      </c>
      <c r="B484" s="34">
        <f>IFERROR(__xludf.DUMMYFUNCTION("""COMPUTED_VALUE"""),1.0)</f>
        <v>1</v>
      </c>
      <c r="C484" s="36">
        <f>IFERROR(__xludf.DUMMYFUNCTION("""COMPUTED_VALUE"""),46163.0)</f>
        <v>46163</v>
      </c>
      <c r="D484" s="34" t="str">
        <f>IFERROR(__xludf.DUMMYFUNCTION("""COMPUTED_VALUE"""),"BAGAS")</f>
        <v>BAGAS</v>
      </c>
    </row>
    <row r="485">
      <c r="A485" s="34" t="str">
        <f>IFERROR(__xludf.DUMMYFUNCTION("""COMPUTED_VALUE"""),"SENDOK SEMEN")</f>
        <v>SENDOK SEMEN</v>
      </c>
      <c r="B485" s="34">
        <f>IFERROR(__xludf.DUMMYFUNCTION("""COMPUTED_VALUE"""),1.0)</f>
        <v>1</v>
      </c>
      <c r="C485" s="36">
        <f>IFERROR(__xludf.DUMMYFUNCTION("""COMPUTED_VALUE"""),46163.0)</f>
        <v>46163</v>
      </c>
      <c r="D485" s="34" t="str">
        <f>IFERROR(__xludf.DUMMYFUNCTION("""COMPUTED_VALUE"""),"MUH")</f>
        <v>MUH</v>
      </c>
    </row>
    <row r="486">
      <c r="A486" s="34" t="str">
        <f>IFERROR(__xludf.DUMMYFUNCTION("""COMPUTED_VALUE"""),"METERAN")</f>
        <v>METERAN</v>
      </c>
      <c r="B486" s="34">
        <f>IFERROR(__xludf.DUMMYFUNCTION("""COMPUTED_VALUE"""),1.0)</f>
        <v>1</v>
      </c>
      <c r="C486" s="36">
        <f>IFERROR(__xludf.DUMMYFUNCTION("""COMPUTED_VALUE"""),46163.0)</f>
        <v>46163</v>
      </c>
      <c r="D486" s="34" t="str">
        <f>IFERROR(__xludf.DUMMYFUNCTION("""COMPUTED_VALUE"""),"MUH")</f>
        <v>MUH</v>
      </c>
    </row>
    <row r="487">
      <c r="A487" s="34" t="str">
        <f>IFERROR(__xludf.DUMMYFUNCTION("""COMPUTED_VALUE"""),"SUSU ")</f>
        <v>SUSU </v>
      </c>
      <c r="B487" s="34">
        <f>IFERROR(__xludf.DUMMYFUNCTION("""COMPUTED_VALUE"""),120.0)</f>
        <v>120</v>
      </c>
      <c r="C487" s="36">
        <f>IFERROR(__xludf.DUMMYFUNCTION("""COMPUTED_VALUE"""),46163.0)</f>
        <v>46163</v>
      </c>
      <c r="D487" s="34" t="str">
        <f>IFERROR(__xludf.DUMMYFUNCTION("""COMPUTED_VALUE"""),"MUH")</f>
        <v>MUH</v>
      </c>
    </row>
    <row r="488">
      <c r="A488" s="34" t="str">
        <f>IFERROR(__xludf.DUMMYFUNCTION("""COMPUTED_VALUE"""),"MASKER")</f>
        <v>MASKER</v>
      </c>
      <c r="B488" s="34">
        <f>IFERROR(__xludf.DUMMYFUNCTION("""COMPUTED_VALUE"""),2.0)</f>
        <v>2</v>
      </c>
      <c r="C488" s="36">
        <f>IFERROR(__xludf.DUMMYFUNCTION("""COMPUTED_VALUE"""),46163.0)</f>
        <v>46163</v>
      </c>
      <c r="D488" s="34" t="str">
        <f>IFERROR(__xludf.DUMMYFUNCTION("""COMPUTED_VALUE"""),"IMAN")</f>
        <v>IMAN</v>
      </c>
    </row>
    <row r="489">
      <c r="A489" s="34" t="str">
        <f>IFERROR(__xludf.DUMMYFUNCTION("""COMPUTED_VALUE"""),"TISSUE")</f>
        <v>TISSUE</v>
      </c>
      <c r="B489" s="34">
        <f>IFERROR(__xludf.DUMMYFUNCTION("""COMPUTED_VALUE"""),2.0)</f>
        <v>2</v>
      </c>
      <c r="C489" s="36">
        <f>IFERROR(__xludf.DUMMYFUNCTION("""COMPUTED_VALUE"""),46163.0)</f>
        <v>46163</v>
      </c>
      <c r="D489" s="34" t="str">
        <f>IFERROR(__xludf.DUMMYFUNCTION("""COMPUTED_VALUE"""),"IMAN")</f>
        <v>IMAN</v>
      </c>
    </row>
    <row r="490">
      <c r="A490" s="34" t="str">
        <f>IFERROR(__xludf.DUMMYFUNCTION("""COMPUTED_VALUE"""),"MASKER")</f>
        <v>MASKER</v>
      </c>
      <c r="B490" s="34">
        <f>IFERROR(__xludf.DUMMYFUNCTION("""COMPUTED_VALUE"""),2.0)</f>
        <v>2</v>
      </c>
      <c r="C490" s="36">
        <f>IFERROR(__xludf.DUMMYFUNCTION("""COMPUTED_VALUE"""),46163.0)</f>
        <v>46163</v>
      </c>
      <c r="D490" s="34" t="str">
        <f>IFERROR(__xludf.DUMMYFUNCTION("""COMPUTED_VALUE"""),"WH")</f>
        <v>WH</v>
      </c>
    </row>
    <row r="491">
      <c r="A491" s="34" t="str">
        <f>IFERROR(__xludf.DUMMYFUNCTION("""COMPUTED_VALUE"""),"MASKER")</f>
        <v>MASKER</v>
      </c>
      <c r="B491" s="34">
        <f>IFERROR(__xludf.DUMMYFUNCTION("""COMPUTED_VALUE"""),1.0)</f>
        <v>1</v>
      </c>
      <c r="C491" s="36">
        <f>IFERROR(__xludf.DUMMYFUNCTION("""COMPUTED_VALUE"""),46163.0)</f>
        <v>46163</v>
      </c>
      <c r="D491" s="34" t="str">
        <f>IFERROR(__xludf.DUMMYFUNCTION("""COMPUTED_VALUE"""),"FARHAN")</f>
        <v>FARHAN</v>
      </c>
    </row>
    <row r="492">
      <c r="A492" s="34" t="str">
        <f>IFERROR(__xludf.DUMMYFUNCTION("""COMPUTED_VALUE"""),"LATEX SARUNG TANGAN ")</f>
        <v>LATEX SARUNG TANGAN </v>
      </c>
      <c r="B492" s="34">
        <f>IFERROR(__xludf.DUMMYFUNCTION("""COMPUTED_VALUE"""),1.0)</f>
        <v>1</v>
      </c>
      <c r="C492" s="36">
        <f>IFERROR(__xludf.DUMMYFUNCTION("""COMPUTED_VALUE"""),46163.0)</f>
        <v>46163</v>
      </c>
      <c r="D492" s="34" t="str">
        <f>IFERROR(__xludf.DUMMYFUNCTION("""COMPUTED_VALUE"""),"FARHAN")</f>
        <v>FARHAN</v>
      </c>
    </row>
    <row r="493">
      <c r="A493" s="34" t="str">
        <f>IFERROR(__xludf.DUMMYFUNCTION("""COMPUTED_VALUE"""),"MASKER")</f>
        <v>MASKER</v>
      </c>
      <c r="B493" s="34">
        <f>IFERROR(__xludf.DUMMYFUNCTION("""COMPUTED_VALUE"""),1.0)</f>
        <v>1</v>
      </c>
      <c r="C493" s="36">
        <f>IFERROR(__xludf.DUMMYFUNCTION("""COMPUTED_VALUE"""),46163.0)</f>
        <v>46163</v>
      </c>
      <c r="D493" s="34" t="str">
        <f>IFERROR(__xludf.DUMMYFUNCTION("""COMPUTED_VALUE"""),"ROY")</f>
        <v>ROY</v>
      </c>
    </row>
    <row r="494">
      <c r="A494" s="34" t="str">
        <f>IFERROR(__xludf.DUMMYFUNCTION("""COMPUTED_VALUE"""),"MASKER")</f>
        <v>MASKER</v>
      </c>
      <c r="B494" s="34">
        <f>IFERROR(__xludf.DUMMYFUNCTION("""COMPUTED_VALUE"""),1.0)</f>
        <v>1</v>
      </c>
      <c r="C494" s="36">
        <f>IFERROR(__xludf.DUMMYFUNCTION("""COMPUTED_VALUE"""),46164.0)</f>
        <v>46164</v>
      </c>
      <c r="D494" s="34" t="str">
        <f>IFERROR(__xludf.DUMMYFUNCTION("""COMPUTED_VALUE"""),"SYAHRIZAL")</f>
        <v>SYAHRIZAL</v>
      </c>
    </row>
    <row r="495">
      <c r="A495" s="34" t="str">
        <f>IFERROR(__xludf.DUMMYFUNCTION("""COMPUTED_VALUE"""),"LATEX SARUNG TANGAN ")</f>
        <v>LATEX SARUNG TANGAN </v>
      </c>
      <c r="B495" s="34">
        <f>IFERROR(__xludf.DUMMYFUNCTION("""COMPUTED_VALUE"""),1.0)</f>
        <v>1</v>
      </c>
      <c r="C495" s="36">
        <f>IFERROR(__xludf.DUMMYFUNCTION("""COMPUTED_VALUE"""),46164.0)</f>
        <v>46164</v>
      </c>
      <c r="D495" s="34" t="str">
        <f>IFERROR(__xludf.DUMMYFUNCTION("""COMPUTED_VALUE"""),"SYAHRIZAL")</f>
        <v>SYAHRIZAL</v>
      </c>
    </row>
    <row r="496">
      <c r="A496" s="34" t="str">
        <f>IFERROR(__xludf.DUMMYFUNCTION("""COMPUTED_VALUE"""),"MASKER")</f>
        <v>MASKER</v>
      </c>
      <c r="B496" s="34">
        <f>IFERROR(__xludf.DUMMYFUNCTION("""COMPUTED_VALUE"""),1.0)</f>
        <v>1</v>
      </c>
      <c r="C496" s="36">
        <f>IFERROR(__xludf.DUMMYFUNCTION("""COMPUTED_VALUE"""),46164.0)</f>
        <v>46164</v>
      </c>
      <c r="D496" s="34" t="str">
        <f>IFERROR(__xludf.DUMMYFUNCTION("""COMPUTED_VALUE"""),"FALIQ")</f>
        <v>FALIQ</v>
      </c>
    </row>
    <row r="497">
      <c r="A497" s="34" t="str">
        <f>IFERROR(__xludf.DUMMYFUNCTION("""COMPUTED_VALUE"""),"LATEX SARUNG TANGAN ")</f>
        <v>LATEX SARUNG TANGAN </v>
      </c>
      <c r="B497" s="34">
        <f>IFERROR(__xludf.DUMMYFUNCTION("""COMPUTED_VALUE"""),1.0)</f>
        <v>1</v>
      </c>
      <c r="C497" s="36">
        <f>IFERROR(__xludf.DUMMYFUNCTION("""COMPUTED_VALUE"""),46164.0)</f>
        <v>46164</v>
      </c>
      <c r="D497" s="34" t="str">
        <f>IFERROR(__xludf.DUMMYFUNCTION("""COMPUTED_VALUE"""),"FALIQ")</f>
        <v>FALIQ</v>
      </c>
    </row>
    <row r="498">
      <c r="A498" s="34" t="str">
        <f>IFERROR(__xludf.DUMMYFUNCTION("""COMPUTED_VALUE"""),"MASKER")</f>
        <v>MASKER</v>
      </c>
      <c r="B498" s="34">
        <f>IFERROR(__xludf.DUMMYFUNCTION("""COMPUTED_VALUE"""),1.0)</f>
        <v>1</v>
      </c>
      <c r="C498" s="36">
        <f>IFERROR(__xludf.DUMMYFUNCTION("""COMPUTED_VALUE"""),46164.0)</f>
        <v>46164</v>
      </c>
      <c r="D498" s="34" t="str">
        <f>IFERROR(__xludf.DUMMYFUNCTION("""COMPUTED_VALUE"""),"FALIQ")</f>
        <v>FALIQ</v>
      </c>
    </row>
    <row r="499">
      <c r="A499" s="34" t="str">
        <f>IFERROR(__xludf.DUMMYFUNCTION("""COMPUTED_VALUE"""),"LATEX SARUNG TANGAN ")</f>
        <v>LATEX SARUNG TANGAN </v>
      </c>
      <c r="B499" s="34">
        <f>IFERROR(__xludf.DUMMYFUNCTION("""COMPUTED_VALUE"""),1.0)</f>
        <v>1</v>
      </c>
      <c r="C499" s="36">
        <f>IFERROR(__xludf.DUMMYFUNCTION("""COMPUTED_VALUE"""),46164.0)</f>
        <v>46164</v>
      </c>
      <c r="D499" s="34" t="str">
        <f>IFERROR(__xludf.DUMMYFUNCTION("""COMPUTED_VALUE"""),"FALIQ")</f>
        <v>FALIQ</v>
      </c>
    </row>
    <row r="500">
      <c r="A500" s="34" t="str">
        <f>IFERROR(__xludf.DUMMYFUNCTION("""COMPUTED_VALUE"""),"PULPEN HITAM")</f>
        <v>PULPEN HITAM</v>
      </c>
      <c r="B500" s="34">
        <f>IFERROR(__xludf.DUMMYFUNCTION("""COMPUTED_VALUE"""),2.0)</f>
        <v>2</v>
      </c>
      <c r="C500" s="36">
        <f>IFERROR(__xludf.DUMMYFUNCTION("""COMPUTED_VALUE"""),46164.0)</f>
        <v>46164</v>
      </c>
      <c r="D500" s="34" t="str">
        <f>IFERROR(__xludf.DUMMYFUNCTION("""COMPUTED_VALUE"""),"GA SHERLY")</f>
        <v>GA SHERLY</v>
      </c>
    </row>
    <row r="501">
      <c r="A501" s="34" t="str">
        <f>IFERROR(__xludf.DUMMYFUNCTION("""COMPUTED_VALUE"""),"SUSU ")</f>
        <v>SUSU </v>
      </c>
      <c r="B501" s="34">
        <f>IFERROR(__xludf.DUMMYFUNCTION("""COMPUTED_VALUE"""),120.0)</f>
        <v>120</v>
      </c>
      <c r="C501" s="36">
        <f>IFERROR(__xludf.DUMMYFUNCTION("""COMPUTED_VALUE"""),46164.0)</f>
        <v>46164</v>
      </c>
      <c r="D501" s="34" t="str">
        <f>IFERROR(__xludf.DUMMYFUNCTION("""COMPUTED_VALUE"""),"GA HERIYANTO")</f>
        <v>GA HERIYANTO</v>
      </c>
    </row>
    <row r="502">
      <c r="A502" s="34" t="str">
        <f>IFERROR(__xludf.DUMMYFUNCTION("""COMPUTED_VALUE"""),"SABUN CUCI TANGAN")</f>
        <v>SABUN CUCI TANGAN</v>
      </c>
      <c r="B502" s="34">
        <f>IFERROR(__xludf.DUMMYFUNCTION("""COMPUTED_VALUE"""),1.0)</f>
        <v>1</v>
      </c>
      <c r="C502" s="36">
        <f>IFERROR(__xludf.DUMMYFUNCTION("""COMPUTED_VALUE"""),46164.0)</f>
        <v>46164</v>
      </c>
      <c r="D502" s="34" t="str">
        <f>IFERROR(__xludf.DUMMYFUNCTION("""COMPUTED_VALUE"""),"GA HERIYANTO")</f>
        <v>GA HERIYANTO</v>
      </c>
    </row>
    <row r="503">
      <c r="A503" s="34" t="str">
        <f>IFERROR(__xludf.DUMMYFUNCTION("""COMPUTED_VALUE"""),"LATEX SARUNG TANGAN ")</f>
        <v>LATEX SARUNG TANGAN </v>
      </c>
      <c r="B503" s="34">
        <f>IFERROR(__xludf.DUMMYFUNCTION("""COMPUTED_VALUE"""),1.0)</f>
        <v>1</v>
      </c>
      <c r="C503" s="36">
        <f>IFERROR(__xludf.DUMMYFUNCTION("""COMPUTED_VALUE"""),46164.0)</f>
        <v>46164</v>
      </c>
      <c r="D503" s="34" t="str">
        <f>IFERROR(__xludf.DUMMYFUNCTION("""COMPUTED_VALUE"""),"DANI")</f>
        <v>DANI</v>
      </c>
    </row>
    <row r="504">
      <c r="A504" s="34" t="str">
        <f>IFERROR(__xludf.DUMMYFUNCTION("""COMPUTED_VALUE"""),"MASKER")</f>
        <v>MASKER</v>
      </c>
      <c r="B504" s="34">
        <f>IFERROR(__xludf.DUMMYFUNCTION("""COMPUTED_VALUE"""),1.0)</f>
        <v>1</v>
      </c>
      <c r="C504" s="36">
        <f>IFERROR(__xludf.DUMMYFUNCTION("""COMPUTED_VALUE"""),46164.0)</f>
        <v>46164</v>
      </c>
      <c r="D504" s="34" t="str">
        <f>IFERROR(__xludf.DUMMYFUNCTION("""COMPUTED_VALUE"""),"DANI")</f>
        <v>DANI</v>
      </c>
    </row>
    <row r="505">
      <c r="A505" s="34" t="str">
        <f>IFERROR(__xludf.DUMMYFUNCTION("""COMPUTED_VALUE"""),"TISSUE")</f>
        <v>TISSUE</v>
      </c>
      <c r="B505" s="34">
        <f>IFERROR(__xludf.DUMMYFUNCTION("""COMPUTED_VALUE"""),1.0)</f>
        <v>1</v>
      </c>
      <c r="C505" s="36">
        <f>IFERROR(__xludf.DUMMYFUNCTION("""COMPUTED_VALUE"""),46164.0)</f>
        <v>46164</v>
      </c>
      <c r="D505" s="34" t="str">
        <f>IFERROR(__xludf.DUMMYFUNCTION("""COMPUTED_VALUE"""),"DANI")</f>
        <v>DANI</v>
      </c>
    </row>
    <row r="506">
      <c r="A506" s="34" t="str">
        <f>IFERROR(__xludf.DUMMYFUNCTION("""COMPUTED_VALUE"""),"MASKER")</f>
        <v>MASKER</v>
      </c>
      <c r="B506" s="34">
        <f>IFERROR(__xludf.DUMMYFUNCTION("""COMPUTED_VALUE"""),1.0)</f>
        <v>1</v>
      </c>
      <c r="C506" s="36">
        <f>IFERROR(__xludf.DUMMYFUNCTION("""COMPUTED_VALUE"""),46164.0)</f>
        <v>46164</v>
      </c>
      <c r="D506" s="34" t="str">
        <f>IFERROR(__xludf.DUMMYFUNCTION("""COMPUTED_VALUE"""),"DANI")</f>
        <v>DANI</v>
      </c>
    </row>
    <row r="507">
      <c r="A507" s="34" t="str">
        <f>IFERROR(__xludf.DUMMYFUNCTION("""COMPUTED_VALUE"""),"LATEX SARUNG TANGAN ")</f>
        <v>LATEX SARUNG TANGAN </v>
      </c>
      <c r="B507" s="34">
        <f>IFERROR(__xludf.DUMMYFUNCTION("""COMPUTED_VALUE"""),1.0)</f>
        <v>1</v>
      </c>
      <c r="C507" s="36">
        <f>IFERROR(__xludf.DUMMYFUNCTION("""COMPUTED_VALUE"""),46164.0)</f>
        <v>46164</v>
      </c>
      <c r="D507" s="34" t="str">
        <f>IFERROR(__xludf.DUMMYFUNCTION("""COMPUTED_VALUE"""),"DANI")</f>
        <v>DANI</v>
      </c>
    </row>
    <row r="508">
      <c r="A508" s="34" t="str">
        <f>IFERROR(__xludf.DUMMYFUNCTION("""COMPUTED_VALUE"""),"MASKER")</f>
        <v>MASKER</v>
      </c>
      <c r="B508" s="34">
        <f>IFERROR(__xludf.DUMMYFUNCTION("""COMPUTED_VALUE"""),1.0)</f>
        <v>1</v>
      </c>
      <c r="C508" s="36">
        <f>IFERROR(__xludf.DUMMYFUNCTION("""COMPUTED_VALUE"""),46164.0)</f>
        <v>46164</v>
      </c>
      <c r="D508" s="34" t="str">
        <f>IFERROR(__xludf.DUMMYFUNCTION("""COMPUTED_VALUE"""),"BAGAS")</f>
        <v>BAGAS</v>
      </c>
    </row>
    <row r="509">
      <c r="A509" s="34" t="str">
        <f>IFERROR(__xludf.DUMMYFUNCTION("""COMPUTED_VALUE"""),"TISSUE")</f>
        <v>TISSUE</v>
      </c>
      <c r="B509" s="34">
        <f>IFERROR(__xludf.DUMMYFUNCTION("""COMPUTED_VALUE"""),1.0)</f>
        <v>1</v>
      </c>
      <c r="C509" s="36">
        <f>IFERROR(__xludf.DUMMYFUNCTION("""COMPUTED_VALUE"""),46164.0)</f>
        <v>46164</v>
      </c>
      <c r="D509" s="34" t="str">
        <f>IFERROR(__xludf.DUMMYFUNCTION("""COMPUTED_VALUE"""),"BAGAS")</f>
        <v>BAGAS</v>
      </c>
    </row>
    <row r="510">
      <c r="A510" s="34" t="str">
        <f>IFERROR(__xludf.DUMMYFUNCTION("""COMPUTED_VALUE"""),"LATEX SARUNG TANGAN ")</f>
        <v>LATEX SARUNG TANGAN </v>
      </c>
      <c r="B510" s="34">
        <f>IFERROR(__xludf.DUMMYFUNCTION("""COMPUTED_VALUE"""),1.0)</f>
        <v>1</v>
      </c>
      <c r="C510" s="36">
        <f>IFERROR(__xludf.DUMMYFUNCTION("""COMPUTED_VALUE"""),46164.0)</f>
        <v>46164</v>
      </c>
      <c r="D510" s="34" t="str">
        <f>IFERROR(__xludf.DUMMYFUNCTION("""COMPUTED_VALUE"""),"BAGAS")</f>
        <v>BAGAS</v>
      </c>
    </row>
    <row r="511">
      <c r="A511" s="34" t="str">
        <f>IFERROR(__xludf.DUMMYFUNCTION("""COMPUTED_VALUE"""),"LATEX SARUNG TANGAN ")</f>
        <v>LATEX SARUNG TANGAN </v>
      </c>
      <c r="B511" s="34">
        <f>IFERROR(__xludf.DUMMYFUNCTION("""COMPUTED_VALUE"""),1.0)</f>
        <v>1</v>
      </c>
      <c r="C511" s="36">
        <f>IFERROR(__xludf.DUMMYFUNCTION("""COMPUTED_VALUE"""),46164.0)</f>
        <v>46164</v>
      </c>
      <c r="D511" s="34" t="str">
        <f>IFERROR(__xludf.DUMMYFUNCTION("""COMPUTED_VALUE"""),"FARHAN")</f>
        <v>FARHAN</v>
      </c>
    </row>
    <row r="512">
      <c r="A512" s="34" t="str">
        <f>IFERROR(__xludf.DUMMYFUNCTION("""COMPUTED_VALUE"""),"MASKER")</f>
        <v>MASKER</v>
      </c>
      <c r="B512" s="34">
        <f>IFERROR(__xludf.DUMMYFUNCTION("""COMPUTED_VALUE"""),1.0)</f>
        <v>1</v>
      </c>
      <c r="C512" s="36">
        <f>IFERROR(__xludf.DUMMYFUNCTION("""COMPUTED_VALUE"""),46164.0)</f>
        <v>46164</v>
      </c>
      <c r="D512" s="34" t="str">
        <f>IFERROR(__xludf.DUMMYFUNCTION("""COMPUTED_VALUE"""),"FARHAN")</f>
        <v>FARHAN</v>
      </c>
    </row>
    <row r="513">
      <c r="A513" s="34" t="str">
        <f>IFERROR(__xludf.DUMMYFUNCTION("""COMPUTED_VALUE"""),"TISSUE")</f>
        <v>TISSUE</v>
      </c>
      <c r="B513" s="34">
        <f>IFERROR(__xludf.DUMMYFUNCTION("""COMPUTED_VALUE"""),1.0)</f>
        <v>1</v>
      </c>
      <c r="C513" s="36">
        <f>IFERROR(__xludf.DUMMYFUNCTION("""COMPUTED_VALUE"""),46164.0)</f>
        <v>46164</v>
      </c>
      <c r="D513" s="34" t="str">
        <f>IFERROR(__xludf.DUMMYFUNCTION("""COMPUTED_VALUE"""),"FARHAN")</f>
        <v>FARHAN</v>
      </c>
    </row>
    <row r="514">
      <c r="A514" s="34" t="str">
        <f>IFERROR(__xludf.DUMMYFUNCTION("""COMPUTED_VALUE"""),"LATEX SARUNG TANGAN ")</f>
        <v>LATEX SARUNG TANGAN </v>
      </c>
      <c r="B514" s="34">
        <f>IFERROR(__xludf.DUMMYFUNCTION("""COMPUTED_VALUE"""),1.0)</f>
        <v>1</v>
      </c>
      <c r="C514" s="36">
        <f>IFERROR(__xludf.DUMMYFUNCTION("""COMPUTED_VALUE"""),46164.0)</f>
        <v>46164</v>
      </c>
      <c r="D514" s="34" t="str">
        <f>IFERROR(__xludf.DUMMYFUNCTION("""COMPUTED_VALUE"""),"FARHAN")</f>
        <v>FARHAN</v>
      </c>
    </row>
    <row r="515">
      <c r="A515" s="34" t="str">
        <f>IFERROR(__xludf.DUMMYFUNCTION("""COMPUTED_VALUE"""),"MASKER")</f>
        <v>MASKER</v>
      </c>
      <c r="B515" s="34">
        <f>IFERROR(__xludf.DUMMYFUNCTION("""COMPUTED_VALUE"""),1.0)</f>
        <v>1</v>
      </c>
      <c r="C515" s="36">
        <f>IFERROR(__xludf.DUMMYFUNCTION("""COMPUTED_VALUE"""),46164.0)</f>
        <v>46164</v>
      </c>
      <c r="D515" s="34" t="str">
        <f>IFERROR(__xludf.DUMMYFUNCTION("""COMPUTED_VALUE"""),"FARHAN")</f>
        <v>FARHAN</v>
      </c>
    </row>
    <row r="516">
      <c r="A516" s="34" t="str">
        <f>IFERROR(__xludf.DUMMYFUNCTION("""COMPUTED_VALUE"""),"MASKER")</f>
        <v>MASKER</v>
      </c>
      <c r="B516" s="34">
        <f>IFERROR(__xludf.DUMMYFUNCTION("""COMPUTED_VALUE"""),1.0)</f>
        <v>1</v>
      </c>
      <c r="C516" s="36">
        <f>IFERROR(__xludf.DUMMYFUNCTION("""COMPUTED_VALUE"""),46164.0)</f>
        <v>46164</v>
      </c>
      <c r="D516" s="34" t="str">
        <f>IFERROR(__xludf.DUMMYFUNCTION("""COMPUTED_VALUE"""),"FITA")</f>
        <v>FITA</v>
      </c>
    </row>
    <row r="517">
      <c r="A517" s="34" t="str">
        <f>IFERROR(__xludf.DUMMYFUNCTION("""COMPUTED_VALUE"""),"TISSUE")</f>
        <v>TISSUE</v>
      </c>
      <c r="B517" s="34">
        <f>IFERROR(__xludf.DUMMYFUNCTION("""COMPUTED_VALUE"""),1.0)</f>
        <v>1</v>
      </c>
      <c r="C517" s="36">
        <f>IFERROR(__xludf.DUMMYFUNCTION("""COMPUTED_VALUE"""),46164.0)</f>
        <v>46164</v>
      </c>
      <c r="D517" s="34" t="str">
        <f>IFERROR(__xludf.DUMMYFUNCTION("""COMPUTED_VALUE"""),"FITA")</f>
        <v>FITA</v>
      </c>
    </row>
    <row r="518">
      <c r="A518" s="34" t="str">
        <f>IFERROR(__xludf.DUMMYFUNCTION("""COMPUTED_VALUE"""),"HAIRNET DISPOSABLE")</f>
        <v>HAIRNET DISPOSABLE</v>
      </c>
      <c r="B518" s="34">
        <f>IFERROR(__xludf.DUMMYFUNCTION("""COMPUTED_VALUE"""),1.0)</f>
        <v>1</v>
      </c>
      <c r="C518" s="36">
        <f>IFERROR(__xludf.DUMMYFUNCTION("""COMPUTED_VALUE"""),46164.0)</f>
        <v>46164</v>
      </c>
      <c r="D518" s="34" t="str">
        <f>IFERROR(__xludf.DUMMYFUNCTION("""COMPUTED_VALUE"""),"FITA")</f>
        <v>FITA</v>
      </c>
    </row>
    <row r="519">
      <c r="A519" s="34" t="str">
        <f>IFERROR(__xludf.DUMMYFUNCTION("""COMPUTED_VALUE"""),"LAMPU SHIMATA PLUS S20")</f>
        <v>LAMPU SHIMATA PLUS S20</v>
      </c>
      <c r="B519" s="34">
        <f>IFERROR(__xludf.DUMMYFUNCTION("""COMPUTED_VALUE"""),1.0)</f>
        <v>1</v>
      </c>
      <c r="C519" s="36">
        <f>IFERROR(__xludf.DUMMYFUNCTION("""COMPUTED_VALUE"""),46165.0)</f>
        <v>46165</v>
      </c>
      <c r="D519" s="34" t="str">
        <f>IFERROR(__xludf.DUMMYFUNCTION("""COMPUTED_VALUE"""),"GA MUH")</f>
        <v>GA MUH</v>
      </c>
    </row>
    <row r="520">
      <c r="A520" s="34" t="str">
        <f>IFERROR(__xludf.DUMMYFUNCTION("""COMPUTED_VALUE"""),"SPIDOL HITAM")</f>
        <v>SPIDOL HITAM</v>
      </c>
      <c r="B520" s="34">
        <f>IFERROR(__xludf.DUMMYFUNCTION("""COMPUTED_VALUE"""),1.0)</f>
        <v>1</v>
      </c>
      <c r="C520" s="36">
        <f>IFERROR(__xludf.DUMMYFUNCTION("""COMPUTED_VALUE"""),46165.0)</f>
        <v>46165</v>
      </c>
      <c r="D520" s="34" t="str">
        <f>IFERROR(__xludf.DUMMYFUNCTION("""COMPUTED_VALUE"""),"THANIA")</f>
        <v>THANIA</v>
      </c>
    </row>
    <row r="521">
      <c r="A521" s="34" t="str">
        <f>IFERROR(__xludf.DUMMYFUNCTION("""COMPUTED_VALUE"""),"GLADE ")</f>
        <v>GLADE </v>
      </c>
      <c r="B521" s="34">
        <f>IFERROR(__xludf.DUMMYFUNCTION("""COMPUTED_VALUE"""),1.0)</f>
        <v>1</v>
      </c>
      <c r="C521" s="36">
        <f>IFERROR(__xludf.DUMMYFUNCTION("""COMPUTED_VALUE"""),46165.0)</f>
        <v>46165</v>
      </c>
      <c r="D521" s="34" t="str">
        <f>IFERROR(__xludf.DUMMYFUNCTION("""COMPUTED_VALUE"""),"GA SHERLY")</f>
        <v>GA SHERLY</v>
      </c>
    </row>
    <row r="522">
      <c r="A522" s="34" t="str">
        <f>IFERROR(__xludf.DUMMYFUNCTION("""COMPUTED_VALUE"""),"MASKER")</f>
        <v>MASKER</v>
      </c>
      <c r="B522" s="34">
        <f>IFERROR(__xludf.DUMMYFUNCTION("""COMPUTED_VALUE"""),1.0)</f>
        <v>1</v>
      </c>
      <c r="C522" s="36">
        <f>IFERROR(__xludf.DUMMYFUNCTION("""COMPUTED_VALUE"""),46165.0)</f>
        <v>46165</v>
      </c>
      <c r="D522" s="34" t="str">
        <f>IFERROR(__xludf.DUMMYFUNCTION("""COMPUTED_VALUE"""),"BAGAS")</f>
        <v>BAGAS</v>
      </c>
    </row>
    <row r="523">
      <c r="A523" s="34" t="str">
        <f>IFERROR(__xludf.DUMMYFUNCTION("""COMPUTED_VALUE"""),"LATEX SARUNG TANGAN ")</f>
        <v>LATEX SARUNG TANGAN </v>
      </c>
      <c r="B523" s="34">
        <f>IFERROR(__xludf.DUMMYFUNCTION("""COMPUTED_VALUE"""),1.0)</f>
        <v>1</v>
      </c>
      <c r="C523" s="36">
        <f>IFERROR(__xludf.DUMMYFUNCTION("""COMPUTED_VALUE"""),46165.0)</f>
        <v>46165</v>
      </c>
      <c r="D523" s="34" t="str">
        <f>IFERROR(__xludf.DUMMYFUNCTION("""COMPUTED_VALUE"""),"BAGAS")</f>
        <v>BAGAS</v>
      </c>
    </row>
    <row r="524">
      <c r="A524" s="34" t="str">
        <f>IFERROR(__xludf.DUMMYFUNCTION("""COMPUTED_VALUE"""),"KERTAS HVS A4")</f>
        <v>KERTAS HVS A4</v>
      </c>
      <c r="B524" s="34">
        <f>IFERROR(__xludf.DUMMYFUNCTION("""COMPUTED_VALUE"""),1.0)</f>
        <v>1</v>
      </c>
      <c r="C524" s="36">
        <f>IFERROR(__xludf.DUMMYFUNCTION("""COMPUTED_VALUE"""),46165.0)</f>
        <v>46165</v>
      </c>
      <c r="D524" s="34" t="str">
        <f>IFERROR(__xludf.DUMMYFUNCTION("""COMPUTED_VALUE"""),"IENDAH")</f>
        <v>IENDAH</v>
      </c>
    </row>
    <row r="525">
      <c r="A525" s="34" t="str">
        <f>IFERROR(__xludf.DUMMYFUNCTION("""COMPUTED_VALUE"""),"LATEX SARUNG TANGAN ")</f>
        <v>LATEX SARUNG TANGAN </v>
      </c>
      <c r="B525" s="34">
        <f>IFERROR(__xludf.DUMMYFUNCTION("""COMPUTED_VALUE"""),1.0)</f>
        <v>1</v>
      </c>
      <c r="C525" s="36">
        <f>IFERROR(__xludf.DUMMYFUNCTION("""COMPUTED_VALUE"""),46165.0)</f>
        <v>46165</v>
      </c>
      <c r="D525" s="34" t="str">
        <f>IFERROR(__xludf.DUMMYFUNCTION("""COMPUTED_VALUE"""),"DANI")</f>
        <v>DANI</v>
      </c>
    </row>
    <row r="526">
      <c r="A526" s="34" t="str">
        <f>IFERROR(__xludf.DUMMYFUNCTION("""COMPUTED_VALUE"""),"MASKER")</f>
        <v>MASKER</v>
      </c>
      <c r="B526" s="34">
        <f>IFERROR(__xludf.DUMMYFUNCTION("""COMPUTED_VALUE"""),1.0)</f>
        <v>1</v>
      </c>
      <c r="C526" s="36">
        <f>IFERROR(__xludf.DUMMYFUNCTION("""COMPUTED_VALUE"""),46165.0)</f>
        <v>46165</v>
      </c>
      <c r="D526" s="34" t="str">
        <f>IFERROR(__xludf.DUMMYFUNCTION("""COMPUTED_VALUE"""),"DANI")</f>
        <v>DANI</v>
      </c>
    </row>
    <row r="527">
      <c r="A527" s="34" t="str">
        <f>IFERROR(__xludf.DUMMYFUNCTION("""COMPUTED_VALUE"""),"LATEX SARUNG TANGAN ")</f>
        <v>LATEX SARUNG TANGAN </v>
      </c>
      <c r="B527" s="34">
        <f>IFERROR(__xludf.DUMMYFUNCTION("""COMPUTED_VALUE"""),1.0)</f>
        <v>1</v>
      </c>
      <c r="C527" s="36">
        <f>IFERROR(__xludf.DUMMYFUNCTION("""COMPUTED_VALUE"""),46165.0)</f>
        <v>46165</v>
      </c>
      <c r="D527" s="34" t="str">
        <f>IFERROR(__xludf.DUMMYFUNCTION("""COMPUTED_VALUE"""),"DANI")</f>
        <v>DANI</v>
      </c>
    </row>
    <row r="528">
      <c r="A528" s="34" t="str">
        <f>IFERROR(__xludf.DUMMYFUNCTION("""COMPUTED_VALUE"""),"MASKER")</f>
        <v>MASKER</v>
      </c>
      <c r="B528" s="34">
        <f>IFERROR(__xludf.DUMMYFUNCTION("""COMPUTED_VALUE"""),1.0)</f>
        <v>1</v>
      </c>
      <c r="C528" s="36">
        <f>IFERROR(__xludf.DUMMYFUNCTION("""COMPUTED_VALUE"""),46165.0)</f>
        <v>46165</v>
      </c>
      <c r="D528" s="34" t="str">
        <f>IFERROR(__xludf.DUMMYFUNCTION("""COMPUTED_VALUE"""),"DANI")</f>
        <v>DANI</v>
      </c>
    </row>
    <row r="529">
      <c r="A529" s="34" t="str">
        <f>IFERROR(__xludf.DUMMYFUNCTION("""COMPUTED_VALUE"""),"DOUBLE TAPE PUTIH")</f>
        <v>DOUBLE TAPE PUTIH</v>
      </c>
      <c r="B529" s="34">
        <f>IFERROR(__xludf.DUMMYFUNCTION("""COMPUTED_VALUE"""),2.0)</f>
        <v>2</v>
      </c>
      <c r="C529" s="36">
        <f>IFERROR(__xludf.DUMMYFUNCTION("""COMPUTED_VALUE"""),46166.0)</f>
        <v>46166</v>
      </c>
      <c r="D529" s="34" t="str">
        <f>IFERROR(__xludf.DUMMYFUNCTION("""COMPUTED_VALUE"""),"GA IENDAH")</f>
        <v>GA IENDAH</v>
      </c>
    </row>
    <row r="530">
      <c r="A530" s="34" t="str">
        <f>IFERROR(__xludf.DUMMYFUNCTION("""COMPUTED_VALUE"""),"LAKBAN MERAH KAIN")</f>
        <v>LAKBAN MERAH KAIN</v>
      </c>
      <c r="B530" s="34">
        <f>IFERROR(__xludf.DUMMYFUNCTION("""COMPUTED_VALUE"""),6.0)</f>
        <v>6</v>
      </c>
      <c r="C530" s="36">
        <f>IFERROR(__xludf.DUMMYFUNCTION("""COMPUTED_VALUE"""),46166.0)</f>
        <v>46166</v>
      </c>
      <c r="D530" s="34" t="str">
        <f>IFERROR(__xludf.DUMMYFUNCTION("""COMPUTED_VALUE"""),"GA IENDAH")</f>
        <v>GA IENDAH</v>
      </c>
    </row>
    <row r="531">
      <c r="A531" s="34" t="str">
        <f>IFERROR(__xludf.DUMMYFUNCTION("""COMPUTED_VALUE"""),"KUAS UKURAN 2 INC")</f>
        <v>KUAS UKURAN 2 INC</v>
      </c>
      <c r="B531" s="34">
        <f>IFERROR(__xludf.DUMMYFUNCTION("""COMPUTED_VALUE"""),2.0)</f>
        <v>2</v>
      </c>
      <c r="C531" s="36">
        <f>IFERROR(__xludf.DUMMYFUNCTION("""COMPUTED_VALUE"""),46166.0)</f>
        <v>46166</v>
      </c>
      <c r="D531" s="34" t="str">
        <f>IFERROR(__xludf.DUMMYFUNCTION("""COMPUTED_VALUE"""),"GA IENDAH")</f>
        <v>GA IENDAH</v>
      </c>
    </row>
    <row r="532">
      <c r="A532" s="34" t="str">
        <f>IFERROR(__xludf.DUMMYFUNCTION("""COMPUTED_VALUE"""),"SALONPAS")</f>
        <v>SALONPAS</v>
      </c>
      <c r="B532" s="34">
        <f>IFERROR(__xludf.DUMMYFUNCTION("""COMPUTED_VALUE"""),2.0)</f>
        <v>2</v>
      </c>
      <c r="C532" s="36">
        <f>IFERROR(__xludf.DUMMYFUNCTION("""COMPUTED_VALUE"""),46166.0)</f>
        <v>46166</v>
      </c>
      <c r="D532" s="34" t="str">
        <f>IFERROR(__xludf.DUMMYFUNCTION("""COMPUTED_VALUE"""),"GA IENDAH")</f>
        <v>GA IENDAH</v>
      </c>
    </row>
    <row r="533">
      <c r="A533" s="34" t="str">
        <f>IFERROR(__xludf.DUMMYFUNCTION("""COMPUTED_VALUE"""),"MINYAK KAYU PUTIH")</f>
        <v>MINYAK KAYU PUTIH</v>
      </c>
      <c r="B533" s="34">
        <f>IFERROR(__xludf.DUMMYFUNCTION("""COMPUTED_VALUE"""),1.0)</f>
        <v>1</v>
      </c>
      <c r="C533" s="36">
        <f>IFERROR(__xludf.DUMMYFUNCTION("""COMPUTED_VALUE"""),46166.0)</f>
        <v>46166</v>
      </c>
      <c r="D533" s="34" t="str">
        <f>IFERROR(__xludf.DUMMYFUNCTION("""COMPUTED_VALUE"""),"GA IENDAH")</f>
        <v>GA IENDAH</v>
      </c>
    </row>
    <row r="534">
      <c r="A534" s="34" t="str">
        <f>IFERROR(__xludf.DUMMYFUNCTION("""COMPUTED_VALUE"""),"SABUN LANTAI ")</f>
        <v>SABUN LANTAI </v>
      </c>
      <c r="B534" s="34">
        <f>IFERROR(__xludf.DUMMYFUNCTION("""COMPUTED_VALUE"""),1.0)</f>
        <v>1</v>
      </c>
      <c r="C534" s="36">
        <f>IFERROR(__xludf.DUMMYFUNCTION("""COMPUTED_VALUE"""),46167.0)</f>
        <v>46167</v>
      </c>
      <c r="D534" s="34" t="str">
        <f>IFERROR(__xludf.DUMMYFUNCTION("""COMPUTED_VALUE"""),"FAREL")</f>
        <v>FAREL</v>
      </c>
    </row>
    <row r="535">
      <c r="A535" s="34" t="str">
        <f>IFERROR(__xludf.DUMMYFUNCTION("""COMPUTED_VALUE"""),"MASKER")</f>
        <v>MASKER</v>
      </c>
      <c r="B535" s="34">
        <f>IFERROR(__xludf.DUMMYFUNCTION("""COMPUTED_VALUE"""),1.0)</f>
        <v>1</v>
      </c>
      <c r="C535" s="36">
        <f>IFERROR(__xludf.DUMMYFUNCTION("""COMPUTED_VALUE"""),46167.0)</f>
        <v>46167</v>
      </c>
      <c r="D535" s="34" t="str">
        <f>IFERROR(__xludf.DUMMYFUNCTION("""COMPUTED_VALUE"""),"FITA")</f>
        <v>FITA</v>
      </c>
    </row>
    <row r="536">
      <c r="A536" s="34" t="str">
        <f>IFERROR(__xludf.DUMMYFUNCTION("""COMPUTED_VALUE"""),"LATEX SARUNG TANGAN ")</f>
        <v>LATEX SARUNG TANGAN </v>
      </c>
      <c r="B536" s="34">
        <f>IFERROR(__xludf.DUMMYFUNCTION("""COMPUTED_VALUE"""),1.0)</f>
        <v>1</v>
      </c>
      <c r="C536" s="36">
        <f>IFERROR(__xludf.DUMMYFUNCTION("""COMPUTED_VALUE"""),46167.0)</f>
        <v>46167</v>
      </c>
      <c r="D536" s="34" t="str">
        <f>IFERROR(__xludf.DUMMYFUNCTION("""COMPUTED_VALUE"""),"FITA")</f>
        <v>FITA</v>
      </c>
    </row>
    <row r="537">
      <c r="A537" s="34" t="str">
        <f>IFERROR(__xludf.DUMMYFUNCTION("""COMPUTED_VALUE"""),"JAS DISPOSABLE")</f>
        <v>JAS DISPOSABLE</v>
      </c>
      <c r="B537" s="34">
        <f>IFERROR(__xludf.DUMMYFUNCTION("""COMPUTED_VALUE"""),3.0)</f>
        <v>3</v>
      </c>
      <c r="C537" s="36">
        <f>IFERROR(__xludf.DUMMYFUNCTION("""COMPUTED_VALUE"""),46167.0)</f>
        <v>46167</v>
      </c>
      <c r="D537" s="34" t="str">
        <f>IFERROR(__xludf.DUMMYFUNCTION("""COMPUTED_VALUE"""),"AUDIT")</f>
        <v>AUDIT</v>
      </c>
    </row>
    <row r="538">
      <c r="A538" s="34" t="str">
        <f>IFERROR(__xludf.DUMMYFUNCTION("""COMPUTED_VALUE"""),"KAPAS PEMBALUT")</f>
        <v>KAPAS PEMBALUT</v>
      </c>
      <c r="B538" s="34">
        <f>IFERROR(__xludf.DUMMYFUNCTION("""COMPUTED_VALUE"""),1.0)</f>
        <v>1</v>
      </c>
      <c r="C538" s="36">
        <f>IFERROR(__xludf.DUMMYFUNCTION("""COMPUTED_VALUE"""),46167.0)</f>
        <v>46167</v>
      </c>
      <c r="D538" s="34" t="str">
        <f>IFERROR(__xludf.DUMMYFUNCTION("""COMPUTED_VALUE"""),"F2")</f>
        <v>F2</v>
      </c>
    </row>
    <row r="539">
      <c r="A539" s="34" t="str">
        <f>IFERROR(__xludf.DUMMYFUNCTION("""COMPUTED_VALUE"""),"INSTO")</f>
        <v>INSTO</v>
      </c>
      <c r="B539" s="34">
        <f>IFERROR(__xludf.DUMMYFUNCTION("""COMPUTED_VALUE"""),1.0)</f>
        <v>1</v>
      </c>
      <c r="C539" s="36">
        <f>IFERROR(__xludf.DUMMYFUNCTION("""COMPUTED_VALUE"""),46167.0)</f>
        <v>46167</v>
      </c>
      <c r="D539" s="34" t="str">
        <f>IFERROR(__xludf.DUMMYFUNCTION("""COMPUTED_VALUE"""),"F2")</f>
        <v>F2</v>
      </c>
    </row>
    <row r="540">
      <c r="A540" s="34" t="str">
        <f>IFERROR(__xludf.DUMMYFUNCTION("""COMPUTED_VALUE"""),"BIOPLASENTO")</f>
        <v>BIOPLASENTO</v>
      </c>
      <c r="B540" s="34">
        <f>IFERROR(__xludf.DUMMYFUNCTION("""COMPUTED_VALUE"""),1.0)</f>
        <v>1</v>
      </c>
      <c r="C540" s="36">
        <f>IFERROR(__xludf.DUMMYFUNCTION("""COMPUTED_VALUE"""),46167.0)</f>
        <v>46167</v>
      </c>
      <c r="D540" s="34" t="str">
        <f>IFERROR(__xludf.DUMMYFUNCTION("""COMPUTED_VALUE"""),"F2")</f>
        <v>F2</v>
      </c>
    </row>
    <row r="541">
      <c r="A541" s="34" t="str">
        <f>IFERROR(__xludf.DUMMYFUNCTION("""COMPUTED_VALUE"""),"PARACETAMOL")</f>
        <v>PARACETAMOL</v>
      </c>
      <c r="B541" s="34">
        <f>IFERROR(__xludf.DUMMYFUNCTION("""COMPUTED_VALUE"""),2.0)</f>
        <v>2</v>
      </c>
      <c r="C541" s="36">
        <f>IFERROR(__xludf.DUMMYFUNCTION("""COMPUTED_VALUE"""),46167.0)</f>
        <v>46167</v>
      </c>
      <c r="D541" s="34" t="str">
        <f>IFERROR(__xludf.DUMMYFUNCTION("""COMPUTED_VALUE"""),"F2")</f>
        <v>F2</v>
      </c>
    </row>
    <row r="542">
      <c r="A542" s="34" t="str">
        <f>IFERROR(__xludf.DUMMYFUNCTION("""COMPUTED_VALUE"""),"OBAT MATA Y-RINS")</f>
        <v>OBAT MATA Y-RINS</v>
      </c>
      <c r="B542" s="34">
        <f>IFERROR(__xludf.DUMMYFUNCTION("""COMPUTED_VALUE"""),1.0)</f>
        <v>1</v>
      </c>
      <c r="C542" s="36">
        <f>IFERROR(__xludf.DUMMYFUNCTION("""COMPUTED_VALUE"""),46167.0)</f>
        <v>46167</v>
      </c>
      <c r="D542" s="34" t="str">
        <f>IFERROR(__xludf.DUMMYFUNCTION("""COMPUTED_VALUE"""),"F2")</f>
        <v>F2</v>
      </c>
    </row>
    <row r="543">
      <c r="A543" s="34" t="str">
        <f>IFERROR(__xludf.DUMMYFUNCTION("""COMPUTED_VALUE"""),"KAIN KASA")</f>
        <v>KAIN KASA</v>
      </c>
      <c r="B543" s="34">
        <f>IFERROR(__xludf.DUMMYFUNCTION("""COMPUTED_VALUE"""),1.0)</f>
        <v>1</v>
      </c>
      <c r="C543" s="36">
        <f>IFERROR(__xludf.DUMMYFUNCTION("""COMPUTED_VALUE"""),46167.0)</f>
        <v>46167</v>
      </c>
      <c r="D543" s="34" t="str">
        <f>IFERROR(__xludf.DUMMYFUNCTION("""COMPUTED_VALUE"""),"F2")</f>
        <v>F2</v>
      </c>
    </row>
    <row r="544">
      <c r="A544" s="34" t="str">
        <f>IFERROR(__xludf.DUMMYFUNCTION("""COMPUTED_VALUE"""),"SALONPAS")</f>
        <v>SALONPAS</v>
      </c>
      <c r="B544" s="34">
        <f>IFERROR(__xludf.DUMMYFUNCTION("""COMPUTED_VALUE"""),2.0)</f>
        <v>2</v>
      </c>
      <c r="C544" s="36">
        <f>IFERROR(__xludf.DUMMYFUNCTION("""COMPUTED_VALUE"""),46167.0)</f>
        <v>46167</v>
      </c>
      <c r="D544" s="34" t="str">
        <f>IFERROR(__xludf.DUMMYFUNCTION("""COMPUTED_VALUE"""),"F2")</f>
        <v>F2</v>
      </c>
    </row>
    <row r="545">
      <c r="A545" s="34" t="str">
        <f>IFERROR(__xludf.DUMMYFUNCTION("""COMPUTED_VALUE"""),"RIVANOL")</f>
        <v>RIVANOL</v>
      </c>
      <c r="B545" s="34">
        <f>IFERROR(__xludf.DUMMYFUNCTION("""COMPUTED_VALUE"""),1.0)</f>
        <v>1</v>
      </c>
      <c r="C545" s="36">
        <f>IFERROR(__xludf.DUMMYFUNCTION("""COMPUTED_VALUE"""),46167.0)</f>
        <v>46167</v>
      </c>
      <c r="D545" s="34" t="str">
        <f>IFERROR(__xludf.DUMMYFUNCTION("""COMPUTED_VALUE"""),"F2")</f>
        <v>F2</v>
      </c>
    </row>
    <row r="546">
      <c r="A546" s="34" t="str">
        <f>IFERROR(__xludf.DUMMYFUNCTION("""COMPUTED_VALUE"""),"BETADINE")</f>
        <v>BETADINE</v>
      </c>
      <c r="B546" s="34">
        <f>IFERROR(__xludf.DUMMYFUNCTION("""COMPUTED_VALUE"""),1.0)</f>
        <v>1</v>
      </c>
      <c r="C546" s="36">
        <f>IFERROR(__xludf.DUMMYFUNCTION("""COMPUTED_VALUE"""),46167.0)</f>
        <v>46167</v>
      </c>
      <c r="D546" s="34" t="str">
        <f>IFERROR(__xludf.DUMMYFUNCTION("""COMPUTED_VALUE"""),"F2")</f>
        <v>F2</v>
      </c>
    </row>
    <row r="547">
      <c r="A547" s="34" t="str">
        <f>IFERROR(__xludf.DUMMYFUNCTION("""COMPUTED_VALUE"""),"ALKOHOL 70 % 100ML")</f>
        <v>ALKOHOL 70 % 100ML</v>
      </c>
      <c r="B547" s="34">
        <f>IFERROR(__xludf.DUMMYFUNCTION("""COMPUTED_VALUE"""),1.0)</f>
        <v>1</v>
      </c>
      <c r="C547" s="36">
        <f>IFERROR(__xludf.DUMMYFUNCTION("""COMPUTED_VALUE"""),46167.0)</f>
        <v>46167</v>
      </c>
      <c r="D547" s="34" t="str">
        <f>IFERROR(__xludf.DUMMYFUNCTION("""COMPUTED_VALUE"""),"F2")</f>
        <v>F2</v>
      </c>
    </row>
    <row r="548">
      <c r="A548" s="34" t="str">
        <f>IFERROR(__xludf.DUMMYFUNCTION("""COMPUTED_VALUE"""),"MINYAK KAYU PUTIH")</f>
        <v>MINYAK KAYU PUTIH</v>
      </c>
      <c r="B548" s="34">
        <f>IFERROR(__xludf.DUMMYFUNCTION("""COMPUTED_VALUE"""),1.0)</f>
        <v>1</v>
      </c>
      <c r="C548" s="36">
        <f>IFERROR(__xludf.DUMMYFUNCTION("""COMPUTED_VALUE"""),46167.0)</f>
        <v>46167</v>
      </c>
      <c r="D548" s="34" t="str">
        <f>IFERROR(__xludf.DUMMYFUNCTION("""COMPUTED_VALUE"""),"F2")</f>
        <v>F2</v>
      </c>
    </row>
    <row r="549">
      <c r="A549" s="34" t="str">
        <f>IFERROR(__xludf.DUMMYFUNCTION("""COMPUTED_VALUE"""),"SABUN LANTAI ")</f>
        <v>SABUN LANTAI </v>
      </c>
      <c r="B549" s="34">
        <f>IFERROR(__xludf.DUMMYFUNCTION("""COMPUTED_VALUE"""),1.0)</f>
        <v>1</v>
      </c>
      <c r="C549" s="36">
        <f>IFERROR(__xludf.DUMMYFUNCTION("""COMPUTED_VALUE"""),46167.0)</f>
        <v>46167</v>
      </c>
      <c r="D549" s="34" t="str">
        <f>IFERROR(__xludf.DUMMYFUNCTION("""COMPUTED_VALUE"""),"GA MUHTADI")</f>
        <v>GA MUHTADI</v>
      </c>
    </row>
    <row r="550">
      <c r="A550" s="34" t="str">
        <f>IFERROR(__xludf.DUMMYFUNCTION("""COMPUTED_VALUE"""),"GLADE ")</f>
        <v>GLADE </v>
      </c>
      <c r="B550" s="34">
        <f>IFERROR(__xludf.DUMMYFUNCTION("""COMPUTED_VALUE"""),1.0)</f>
        <v>1</v>
      </c>
      <c r="C550" s="36">
        <f>IFERROR(__xludf.DUMMYFUNCTION("""COMPUTED_VALUE"""),46167.0)</f>
        <v>46167</v>
      </c>
      <c r="D550" s="34" t="str">
        <f>IFERROR(__xludf.DUMMYFUNCTION("""COMPUTED_VALUE"""),"IENDAH")</f>
        <v>IENDAH</v>
      </c>
    </row>
    <row r="551">
      <c r="A551" s="34" t="str">
        <f>IFERROR(__xludf.DUMMYFUNCTION("""COMPUTED_VALUE"""),"TEH BOTOL")</f>
        <v>TEH BOTOL</v>
      </c>
      <c r="B551" s="34">
        <f>IFERROR(__xludf.DUMMYFUNCTION("""COMPUTED_VALUE"""),24.0)</f>
        <v>24</v>
      </c>
      <c r="C551" s="36">
        <f>IFERROR(__xludf.DUMMYFUNCTION("""COMPUTED_VALUE"""),46167.0)</f>
        <v>46167</v>
      </c>
      <c r="D551" s="34" t="str">
        <f>IFERROR(__xludf.DUMMYFUNCTION("""COMPUTED_VALUE"""),"IENDAH")</f>
        <v>IENDAH</v>
      </c>
    </row>
    <row r="552">
      <c r="A552" s="34" t="str">
        <f>IFERROR(__xludf.DUMMYFUNCTION("""COMPUTED_VALUE"""),"AIR MINERAL")</f>
        <v>AIR MINERAL</v>
      </c>
      <c r="B552" s="34">
        <f>IFERROR(__xludf.DUMMYFUNCTION("""COMPUTED_VALUE"""),24.0)</f>
        <v>24</v>
      </c>
      <c r="C552" s="36">
        <f>IFERROR(__xludf.DUMMYFUNCTION("""COMPUTED_VALUE"""),46167.0)</f>
        <v>46167</v>
      </c>
      <c r="D552" s="34" t="str">
        <f>IFERROR(__xludf.DUMMYFUNCTION("""COMPUTED_VALUE"""),"IENDAH")</f>
        <v>IENDAH</v>
      </c>
    </row>
    <row r="553">
      <c r="A553" s="34" t="str">
        <f>IFERROR(__xludf.DUMMYFUNCTION("""COMPUTED_VALUE"""),"TISSUE")</f>
        <v>TISSUE</v>
      </c>
      <c r="B553" s="34">
        <f>IFERROR(__xludf.DUMMYFUNCTION("""COMPUTED_VALUE"""),2.0)</f>
        <v>2</v>
      </c>
      <c r="C553" s="36">
        <f>IFERROR(__xludf.DUMMYFUNCTION("""COMPUTED_VALUE"""),46167.0)</f>
        <v>46167</v>
      </c>
      <c r="D553" s="34" t="str">
        <f>IFERROR(__xludf.DUMMYFUNCTION("""COMPUTED_VALUE"""),"AMANIAH")</f>
        <v>AMANIAH</v>
      </c>
    </row>
    <row r="554">
      <c r="A554" s="34" t="str">
        <f>IFERROR(__xludf.DUMMYFUNCTION("""COMPUTED_VALUE"""),"KERTAS HVS A4")</f>
        <v>KERTAS HVS A4</v>
      </c>
      <c r="B554" s="34">
        <f>IFERROR(__xludf.DUMMYFUNCTION("""COMPUTED_VALUE"""),2.0)</f>
        <v>2</v>
      </c>
      <c r="C554" s="36">
        <f>IFERROR(__xludf.DUMMYFUNCTION("""COMPUTED_VALUE"""),46167.0)</f>
        <v>46167</v>
      </c>
      <c r="D554" s="34" t="str">
        <f>IFERROR(__xludf.DUMMYFUNCTION("""COMPUTED_VALUE"""),"AMANIAH")</f>
        <v>AMANIAH</v>
      </c>
    </row>
    <row r="555">
      <c r="A555" s="34" t="str">
        <f>IFERROR(__xludf.DUMMYFUNCTION("""COMPUTED_VALUE"""),"TISSUE")</f>
        <v>TISSUE</v>
      </c>
      <c r="B555" s="34">
        <f>IFERROR(__xludf.DUMMYFUNCTION("""COMPUTED_VALUE"""),5.0)</f>
        <v>5</v>
      </c>
      <c r="C555" s="36">
        <f>IFERROR(__xludf.DUMMYFUNCTION("""COMPUTED_VALUE"""),46167.0)</f>
        <v>46167</v>
      </c>
      <c r="D555" s="34" t="str">
        <f>IFERROR(__xludf.DUMMYFUNCTION("""COMPUTED_VALUE"""),"QC")</f>
        <v>QC</v>
      </c>
    </row>
    <row r="556">
      <c r="A556" s="34" t="str">
        <f>IFERROR(__xludf.DUMMYFUNCTION("""COMPUTED_VALUE"""),"MASKER")</f>
        <v>MASKER</v>
      </c>
      <c r="B556" s="34">
        <f>IFERROR(__xludf.DUMMYFUNCTION("""COMPUTED_VALUE"""),1.0)</f>
        <v>1</v>
      </c>
      <c r="C556" s="36">
        <f>IFERROR(__xludf.DUMMYFUNCTION("""COMPUTED_VALUE"""),46167.0)</f>
        <v>46167</v>
      </c>
      <c r="D556" s="34" t="str">
        <f>IFERROR(__xludf.DUMMYFUNCTION("""COMPUTED_VALUE"""),"QC")</f>
        <v>QC</v>
      </c>
    </row>
    <row r="557">
      <c r="A557" s="34" t="str">
        <f>IFERROR(__xludf.DUMMYFUNCTION("""COMPUTED_VALUE"""),"GLADE ")</f>
        <v>GLADE </v>
      </c>
      <c r="B557" s="34">
        <f>IFERROR(__xludf.DUMMYFUNCTION("""COMPUTED_VALUE"""),1.0)</f>
        <v>1</v>
      </c>
      <c r="C557" s="36">
        <f>IFERROR(__xludf.DUMMYFUNCTION("""COMPUTED_VALUE"""),46167.0)</f>
        <v>46167</v>
      </c>
      <c r="D557" s="34" t="str">
        <f>IFERROR(__xludf.DUMMYFUNCTION("""COMPUTED_VALUE"""),"FAREL")</f>
        <v>FAREL</v>
      </c>
    </row>
    <row r="558">
      <c r="A558" s="34" t="str">
        <f>IFERROR(__xludf.DUMMYFUNCTION("""COMPUTED_VALUE"""),"LATEX SARUNG TANGAN ")</f>
        <v>LATEX SARUNG TANGAN </v>
      </c>
      <c r="B558" s="34">
        <f>IFERROR(__xludf.DUMMYFUNCTION("""COMPUTED_VALUE"""),1.0)</f>
        <v>1</v>
      </c>
      <c r="C558" s="36">
        <f>IFERROR(__xludf.DUMMYFUNCTION("""COMPUTED_VALUE"""),46167.0)</f>
        <v>46167</v>
      </c>
      <c r="D558" s="34" t="str">
        <f>IFERROR(__xludf.DUMMYFUNCTION("""COMPUTED_VALUE"""),"DANI")</f>
        <v>DANI</v>
      </c>
    </row>
    <row r="559">
      <c r="A559" s="34" t="str">
        <f>IFERROR(__xludf.DUMMYFUNCTION("""COMPUTED_VALUE"""),"MASKER")</f>
        <v>MASKER</v>
      </c>
      <c r="B559" s="34">
        <f>IFERROR(__xludf.DUMMYFUNCTION("""COMPUTED_VALUE"""),1.0)</f>
        <v>1</v>
      </c>
      <c r="C559" s="36">
        <f>IFERROR(__xludf.DUMMYFUNCTION("""COMPUTED_VALUE"""),46167.0)</f>
        <v>46167</v>
      </c>
      <c r="D559" s="34" t="str">
        <f>IFERROR(__xludf.DUMMYFUNCTION("""COMPUTED_VALUE"""),"DANI")</f>
        <v>DANI</v>
      </c>
    </row>
    <row r="560">
      <c r="A560" s="34" t="str">
        <f>IFERROR(__xludf.DUMMYFUNCTION("""COMPUTED_VALUE"""),"TISSUE")</f>
        <v>TISSUE</v>
      </c>
      <c r="B560" s="34">
        <f>IFERROR(__xludf.DUMMYFUNCTION("""COMPUTED_VALUE"""),1.0)</f>
        <v>1</v>
      </c>
      <c r="C560" s="36">
        <f>IFERROR(__xludf.DUMMYFUNCTION("""COMPUTED_VALUE"""),46167.0)</f>
        <v>46167</v>
      </c>
      <c r="D560" s="34" t="str">
        <f>IFERROR(__xludf.DUMMYFUNCTION("""COMPUTED_VALUE"""),"DANI")</f>
        <v>DANI</v>
      </c>
    </row>
    <row r="561">
      <c r="A561" s="34" t="str">
        <f>IFERROR(__xludf.DUMMYFUNCTION("""COMPUTED_VALUE"""),"MASKER")</f>
        <v>MASKER</v>
      </c>
      <c r="B561" s="34">
        <f>IFERROR(__xludf.DUMMYFUNCTION("""COMPUTED_VALUE"""),1.0)</f>
        <v>1</v>
      </c>
      <c r="C561" s="36">
        <f>IFERROR(__xludf.DUMMYFUNCTION("""COMPUTED_VALUE"""),46167.0)</f>
        <v>46167</v>
      </c>
      <c r="D561" s="34" t="str">
        <f>IFERROR(__xludf.DUMMYFUNCTION("""COMPUTED_VALUE"""),"ROY")</f>
        <v>ROY</v>
      </c>
    </row>
    <row r="562">
      <c r="A562" s="34" t="str">
        <f>IFERROR(__xludf.DUMMYFUNCTION("""COMPUTED_VALUE"""),"LATEX SARUNG TANGAN ")</f>
        <v>LATEX SARUNG TANGAN </v>
      </c>
      <c r="B562" s="34">
        <f>IFERROR(__xludf.DUMMYFUNCTION("""COMPUTED_VALUE"""),1.0)</f>
        <v>1</v>
      </c>
      <c r="C562" s="36">
        <f>IFERROR(__xludf.DUMMYFUNCTION("""COMPUTED_VALUE"""),46167.0)</f>
        <v>46167</v>
      </c>
      <c r="D562" s="34" t="str">
        <f>IFERROR(__xludf.DUMMYFUNCTION("""COMPUTED_VALUE"""),"ROY")</f>
        <v>ROY</v>
      </c>
    </row>
    <row r="563">
      <c r="A563" s="34" t="str">
        <f>IFERROR(__xludf.DUMMYFUNCTION("""COMPUTED_VALUE"""),"TISSUE")</f>
        <v>TISSUE</v>
      </c>
      <c r="B563" s="34">
        <f>IFERROR(__xludf.DUMMYFUNCTION("""COMPUTED_VALUE"""),1.0)</f>
        <v>1</v>
      </c>
      <c r="C563" s="36">
        <f>IFERROR(__xludf.DUMMYFUNCTION("""COMPUTED_VALUE"""),46167.0)</f>
        <v>46167</v>
      </c>
      <c r="D563" s="34" t="str">
        <f>IFERROR(__xludf.DUMMYFUNCTION("""COMPUTED_VALUE"""),"ROY")</f>
        <v>ROY</v>
      </c>
    </row>
    <row r="564">
      <c r="A564" s="34" t="str">
        <f>IFERROR(__xludf.DUMMYFUNCTION("""COMPUTED_VALUE"""),"MASKER")</f>
        <v>MASKER</v>
      </c>
      <c r="B564" s="34">
        <f>IFERROR(__xludf.DUMMYFUNCTION("""COMPUTED_VALUE"""),2.0)</f>
        <v>2</v>
      </c>
      <c r="C564" s="36">
        <f>IFERROR(__xludf.DUMMYFUNCTION("""COMPUTED_VALUE"""),46167.0)</f>
        <v>46167</v>
      </c>
      <c r="D564" s="34" t="str">
        <f>IFERROR(__xludf.DUMMYFUNCTION("""COMPUTED_VALUE"""),"ILYAS")</f>
        <v>ILYAS</v>
      </c>
    </row>
    <row r="565">
      <c r="A565" s="34" t="str">
        <f>IFERROR(__xludf.DUMMYFUNCTION("""COMPUTED_VALUE"""),"LATEX SARUNG TANGAN ")</f>
        <v>LATEX SARUNG TANGAN </v>
      </c>
      <c r="B565" s="34">
        <f>IFERROR(__xludf.DUMMYFUNCTION("""COMPUTED_VALUE"""),1.0)</f>
        <v>1</v>
      </c>
      <c r="C565" s="36">
        <f>IFERROR(__xludf.DUMMYFUNCTION("""COMPUTED_VALUE"""),46167.0)</f>
        <v>46167</v>
      </c>
      <c r="D565" s="34" t="str">
        <f>IFERROR(__xludf.DUMMYFUNCTION("""COMPUTED_VALUE"""),"ILYAS")</f>
        <v>ILYAS</v>
      </c>
    </row>
    <row r="566">
      <c r="A566" s="34" t="str">
        <f>IFERROR(__xludf.DUMMYFUNCTION("""COMPUTED_VALUE"""),"AIR MINERAL")</f>
        <v>AIR MINERAL</v>
      </c>
      <c r="B566" s="34">
        <f>IFERROR(__xludf.DUMMYFUNCTION("""COMPUTED_VALUE"""),24.0)</f>
        <v>24</v>
      </c>
      <c r="C566" s="36">
        <f>IFERROR(__xludf.DUMMYFUNCTION("""COMPUTED_VALUE"""),46167.0)</f>
        <v>46167</v>
      </c>
      <c r="D566" s="34" t="str">
        <f>IFERROR(__xludf.DUMMYFUNCTION("""COMPUTED_VALUE"""),"PANTRY")</f>
        <v>PANTRY</v>
      </c>
    </row>
    <row r="567">
      <c r="A567" s="34" t="str">
        <f>IFERROR(__xludf.DUMMYFUNCTION("""COMPUTED_VALUE"""),"TEH BOTOL")</f>
        <v>TEH BOTOL</v>
      </c>
      <c r="B567" s="34">
        <f>IFERROR(__xludf.DUMMYFUNCTION("""COMPUTED_VALUE"""),24.0)</f>
        <v>24</v>
      </c>
      <c r="C567" s="36">
        <f>IFERROR(__xludf.DUMMYFUNCTION("""COMPUTED_VALUE"""),46167.0)</f>
        <v>46167</v>
      </c>
      <c r="D567" s="34" t="str">
        <f>IFERROR(__xludf.DUMMYFUNCTION("""COMPUTED_VALUE"""),"PANTRY")</f>
        <v>PANTRY</v>
      </c>
    </row>
    <row r="568">
      <c r="A568" s="34" t="str">
        <f>IFERROR(__xludf.DUMMYFUNCTION("""COMPUTED_VALUE"""),"SUSU ")</f>
        <v>SUSU </v>
      </c>
      <c r="B568" s="34">
        <f>IFERROR(__xludf.DUMMYFUNCTION("""COMPUTED_VALUE"""),48.0)</f>
        <v>48</v>
      </c>
      <c r="C568" s="36">
        <f>IFERROR(__xludf.DUMMYFUNCTION("""COMPUTED_VALUE"""),46167.0)</f>
        <v>46167</v>
      </c>
      <c r="D568" s="34" t="str">
        <f>IFERROR(__xludf.DUMMYFUNCTION("""COMPUTED_VALUE"""),"PANTRY")</f>
        <v>PANTRY</v>
      </c>
    </row>
    <row r="569">
      <c r="A569" s="34" t="str">
        <f>IFERROR(__xludf.DUMMYFUNCTION("""COMPUTED_VALUE"""),"TISSUE")</f>
        <v>TISSUE</v>
      </c>
      <c r="B569" s="34">
        <f>IFERROR(__xludf.DUMMYFUNCTION("""COMPUTED_VALUE"""),1.0)</f>
        <v>1</v>
      </c>
      <c r="C569" s="36">
        <f>IFERROR(__xludf.DUMMYFUNCTION("""COMPUTED_VALUE"""),46167.0)</f>
        <v>46167</v>
      </c>
      <c r="D569" s="34" t="str">
        <f>IFERROR(__xludf.DUMMYFUNCTION("""COMPUTED_VALUE"""),"PANTRY")</f>
        <v>PANTRY</v>
      </c>
    </row>
    <row r="570">
      <c r="A570" s="34" t="str">
        <f>IFERROR(__xludf.DUMMYFUNCTION("""COMPUTED_VALUE"""),"HAIRNET DISPOSABLE")</f>
        <v>HAIRNET DISPOSABLE</v>
      </c>
      <c r="B570" s="34">
        <f>IFERROR(__xludf.DUMMYFUNCTION("""COMPUTED_VALUE"""),20.0)</f>
        <v>20</v>
      </c>
      <c r="C570" s="36">
        <f>IFERROR(__xludf.DUMMYFUNCTION("""COMPUTED_VALUE"""),46167.0)</f>
        <v>46167</v>
      </c>
      <c r="D570" s="34" t="str">
        <f>IFERROR(__xludf.DUMMYFUNCTION("""COMPUTED_VALUE"""),"QC")</f>
        <v>QC</v>
      </c>
    </row>
    <row r="571">
      <c r="A571" s="34" t="str">
        <f>IFERROR(__xludf.DUMMYFUNCTION("""COMPUTED_VALUE"""),"MATERAI")</f>
        <v>MATERAI</v>
      </c>
      <c r="B571" s="34">
        <f>IFERROR(__xludf.DUMMYFUNCTION("""COMPUTED_VALUE"""),1.0)</f>
        <v>1</v>
      </c>
      <c r="C571" s="36">
        <f>IFERROR(__xludf.DUMMYFUNCTION("""COMPUTED_VALUE"""),46168.0)</f>
        <v>46168</v>
      </c>
      <c r="D571" s="34" t="str">
        <f>IFERROR(__xludf.DUMMYFUNCTION("""COMPUTED_VALUE"""),"IENDAH")</f>
        <v>IENDAH</v>
      </c>
    </row>
    <row r="572">
      <c r="A572" s="34" t="str">
        <f>IFERROR(__xludf.DUMMYFUNCTION("""COMPUTED_VALUE"""),"SABUN CUCI PIRING ")</f>
        <v>SABUN CUCI PIRING </v>
      </c>
      <c r="B572" s="34">
        <f>IFERROR(__xludf.DUMMYFUNCTION("""COMPUTED_VALUE"""),1.0)</f>
        <v>1</v>
      </c>
      <c r="C572" s="36">
        <f>IFERROR(__xludf.DUMMYFUNCTION("""COMPUTED_VALUE"""),46168.0)</f>
        <v>46168</v>
      </c>
      <c r="D572" s="34" t="str">
        <f>IFERROR(__xludf.DUMMYFUNCTION("""COMPUTED_VALUE"""),"PANTRY")</f>
        <v>PANTRY</v>
      </c>
    </row>
    <row r="573">
      <c r="A573" s="34" t="str">
        <f>IFERROR(__xludf.DUMMYFUNCTION("""COMPUTED_VALUE"""),"AIR MINERAL")</f>
        <v>AIR MINERAL</v>
      </c>
      <c r="B573" s="34">
        <f>IFERROR(__xludf.DUMMYFUNCTION("""COMPUTED_VALUE"""),24.0)</f>
        <v>24</v>
      </c>
      <c r="C573" s="36">
        <f>IFERROR(__xludf.DUMMYFUNCTION("""COMPUTED_VALUE"""),46168.0)</f>
        <v>46168</v>
      </c>
      <c r="D573" s="34" t="str">
        <f>IFERROR(__xludf.DUMMYFUNCTION("""COMPUTED_VALUE"""),"PANTRY")</f>
        <v>PANTRY</v>
      </c>
    </row>
    <row r="574">
      <c r="A574" s="34" t="str">
        <f>IFERROR(__xludf.DUMMYFUNCTION("""COMPUTED_VALUE"""),"TEH BOTOL")</f>
        <v>TEH BOTOL</v>
      </c>
      <c r="B574" s="34">
        <f>IFERROR(__xludf.DUMMYFUNCTION("""COMPUTED_VALUE"""),24.0)</f>
        <v>24</v>
      </c>
      <c r="C574" s="36">
        <f>IFERROR(__xludf.DUMMYFUNCTION("""COMPUTED_VALUE"""),46168.0)</f>
        <v>46168</v>
      </c>
      <c r="D574" s="34" t="str">
        <f>IFERROR(__xludf.DUMMYFUNCTION("""COMPUTED_VALUE"""),"PANTRY")</f>
        <v>PANTRY</v>
      </c>
    </row>
    <row r="575">
      <c r="A575" s="34" t="str">
        <f>IFERROR(__xludf.DUMMYFUNCTION("""COMPUTED_VALUE"""),"TISSUE")</f>
        <v>TISSUE</v>
      </c>
      <c r="B575" s="34">
        <f>IFERROR(__xludf.DUMMYFUNCTION("""COMPUTED_VALUE"""),1.0)</f>
        <v>1</v>
      </c>
      <c r="C575" s="36">
        <f>IFERROR(__xludf.DUMMYFUNCTION("""COMPUTED_VALUE"""),46168.0)</f>
        <v>46168</v>
      </c>
      <c r="D575" s="34" t="str">
        <f>IFERROR(__xludf.DUMMYFUNCTION("""COMPUTED_VALUE"""),"PANTRY")</f>
        <v>PANTRY</v>
      </c>
    </row>
    <row r="576">
      <c r="A576" s="34" t="str">
        <f>IFERROR(__xludf.DUMMYFUNCTION("""COMPUTED_VALUE"""),"TINTA PRINTER L3201 HITAM")</f>
        <v>TINTA PRINTER L3201 HITAM</v>
      </c>
      <c r="B576" s="34">
        <f>IFERROR(__xludf.DUMMYFUNCTION("""COMPUTED_VALUE"""),2.0)</f>
        <v>2</v>
      </c>
      <c r="C576" s="36">
        <f>IFERROR(__xludf.DUMMYFUNCTION("""COMPUTED_VALUE"""),46168.0)</f>
        <v>46168</v>
      </c>
      <c r="D576" s="34" t="str">
        <f>IFERROR(__xludf.DUMMYFUNCTION("""COMPUTED_VALUE"""),"LOGISTIK")</f>
        <v>LOGISTIK</v>
      </c>
    </row>
    <row r="577">
      <c r="A577" s="34" t="str">
        <f>IFERROR(__xludf.DUMMYFUNCTION("""COMPUTED_VALUE"""),"TINTA PRINTER L3201 KUNING")</f>
        <v>TINTA PRINTER L3201 KUNING</v>
      </c>
      <c r="B577" s="34">
        <f>IFERROR(__xludf.DUMMYFUNCTION("""COMPUTED_VALUE"""),2.0)</f>
        <v>2</v>
      </c>
      <c r="C577" s="36">
        <f>IFERROR(__xludf.DUMMYFUNCTION("""COMPUTED_VALUE"""),46168.0)</f>
        <v>46168</v>
      </c>
      <c r="D577" s="34" t="str">
        <f>IFERROR(__xludf.DUMMYFUNCTION("""COMPUTED_VALUE"""),"LOGISTIK")</f>
        <v>LOGISTIK</v>
      </c>
    </row>
    <row r="578">
      <c r="A578" s="34" t="str">
        <f>IFERROR(__xludf.DUMMYFUNCTION("""COMPUTED_VALUE"""),"PULPEN HITAM")</f>
        <v>PULPEN HITAM</v>
      </c>
      <c r="B578" s="34">
        <f>IFERROR(__xludf.DUMMYFUNCTION("""COMPUTED_VALUE"""),4.0)</f>
        <v>4</v>
      </c>
      <c r="C578" s="36">
        <f>IFERROR(__xludf.DUMMYFUNCTION("""COMPUTED_VALUE"""),46168.0)</f>
        <v>46168</v>
      </c>
      <c r="D578" s="34" t="str">
        <f>IFERROR(__xludf.DUMMYFUNCTION("""COMPUTED_VALUE"""),"LOGISTIK")</f>
        <v>LOGISTIK</v>
      </c>
    </row>
    <row r="579">
      <c r="A579" s="34" t="str">
        <f>IFERROR(__xludf.DUMMYFUNCTION("""COMPUTED_VALUE"""),"SPIDOL HITAM")</f>
        <v>SPIDOL HITAM</v>
      </c>
      <c r="B579" s="34">
        <f>IFERROR(__xludf.DUMMYFUNCTION("""COMPUTED_VALUE"""),2.0)</f>
        <v>2</v>
      </c>
      <c r="C579" s="36">
        <f>IFERROR(__xludf.DUMMYFUNCTION("""COMPUTED_VALUE"""),46168.0)</f>
        <v>46168</v>
      </c>
      <c r="D579" s="34" t="str">
        <f>IFERROR(__xludf.DUMMYFUNCTION("""COMPUTED_VALUE"""),"LOGISTIK")</f>
        <v>LOGISTIK</v>
      </c>
    </row>
    <row r="580">
      <c r="A580" s="34" t="str">
        <f>IFERROR(__xludf.DUMMYFUNCTION("""COMPUTED_VALUE"""),"SPIDOL MERAH")</f>
        <v>SPIDOL MERAH</v>
      </c>
      <c r="B580" s="34">
        <f>IFERROR(__xludf.DUMMYFUNCTION("""COMPUTED_VALUE"""),2.0)</f>
        <v>2</v>
      </c>
      <c r="C580" s="36">
        <f>IFERROR(__xludf.DUMMYFUNCTION("""COMPUTED_VALUE"""),46168.0)</f>
        <v>46168</v>
      </c>
      <c r="D580" s="34" t="str">
        <f>IFERROR(__xludf.DUMMYFUNCTION("""COMPUTED_VALUE"""),"LOGISTIK")</f>
        <v>LOGISTIK</v>
      </c>
    </row>
    <row r="581">
      <c r="A581" s="34" t="str">
        <f>IFERROR(__xludf.DUMMYFUNCTION("""COMPUTED_VALUE"""),"TISSUE")</f>
        <v>TISSUE</v>
      </c>
      <c r="B581" s="34">
        <f>IFERROR(__xludf.DUMMYFUNCTION("""COMPUTED_VALUE"""),3.0)</f>
        <v>3</v>
      </c>
      <c r="C581" s="36">
        <f>IFERROR(__xludf.DUMMYFUNCTION("""COMPUTED_VALUE"""),46168.0)</f>
        <v>46168</v>
      </c>
      <c r="D581" s="34" t="str">
        <f>IFERROR(__xludf.DUMMYFUNCTION("""COMPUTED_VALUE"""),"LOGISTIK")</f>
        <v>LOGISTIK</v>
      </c>
    </row>
    <row r="582">
      <c r="A582" s="34" t="str">
        <f>IFERROR(__xludf.DUMMYFUNCTION("""COMPUTED_VALUE"""),"SALONPAS")</f>
        <v>SALONPAS</v>
      </c>
      <c r="B582" s="34">
        <f>IFERROR(__xludf.DUMMYFUNCTION("""COMPUTED_VALUE"""),2.0)</f>
        <v>2</v>
      </c>
      <c r="C582" s="36">
        <f>IFERROR(__xludf.DUMMYFUNCTION("""COMPUTED_VALUE"""),46168.0)</f>
        <v>46168</v>
      </c>
      <c r="D582" s="34" t="str">
        <f>IFERROR(__xludf.DUMMYFUNCTION("""COMPUTED_VALUE"""),"LOGISTIK")</f>
        <v>LOGISTIK</v>
      </c>
    </row>
    <row r="583">
      <c r="A583" s="34" t="str">
        <f>IFERROR(__xludf.DUMMYFUNCTION("""COMPUTED_VALUE"""),"KERTAS HVS A4")</f>
        <v>KERTAS HVS A4</v>
      </c>
      <c r="B583" s="34">
        <f>IFERROR(__xludf.DUMMYFUNCTION("""COMPUTED_VALUE"""),15.0)</f>
        <v>15</v>
      </c>
      <c r="C583" s="36">
        <f>IFERROR(__xludf.DUMMYFUNCTION("""COMPUTED_VALUE"""),46168.0)</f>
        <v>46168</v>
      </c>
      <c r="D583" s="34" t="str">
        <f>IFERROR(__xludf.DUMMYFUNCTION("""COMPUTED_VALUE"""),"LOGISTIK")</f>
        <v>LOGISTIK</v>
      </c>
    </row>
    <row r="584">
      <c r="A584" s="34" t="str">
        <f>IFERROR(__xludf.DUMMYFUNCTION("""COMPUTED_VALUE"""),"MINYAK KAYU PUTIH")</f>
        <v>MINYAK KAYU PUTIH</v>
      </c>
      <c r="B584" s="34">
        <f>IFERROR(__xludf.DUMMYFUNCTION("""COMPUTED_VALUE"""),1.0)</f>
        <v>1</v>
      </c>
      <c r="C584" s="36">
        <f>IFERROR(__xludf.DUMMYFUNCTION("""COMPUTED_VALUE"""),46168.0)</f>
        <v>46168</v>
      </c>
      <c r="D584" s="34" t="str">
        <f>IFERROR(__xludf.DUMMYFUNCTION("""COMPUTED_VALUE"""),"LOGISTIK")</f>
        <v>LOGISTIK</v>
      </c>
    </row>
    <row r="585">
      <c r="A585" s="34" t="str">
        <f>IFERROR(__xludf.DUMMYFUNCTION("""COMPUTED_VALUE"""),"GUNTING")</f>
        <v>GUNTING</v>
      </c>
      <c r="B585" s="34">
        <f>IFERROR(__xludf.DUMMYFUNCTION("""COMPUTED_VALUE"""),1.0)</f>
        <v>1</v>
      </c>
      <c r="C585" s="36">
        <f>IFERROR(__xludf.DUMMYFUNCTION("""COMPUTED_VALUE"""),46168.0)</f>
        <v>46168</v>
      </c>
      <c r="D585" s="34" t="str">
        <f>IFERROR(__xludf.DUMMYFUNCTION("""COMPUTED_VALUE"""),"LOGISTIK")</f>
        <v>LOGISTIK</v>
      </c>
    </row>
    <row r="586">
      <c r="A586" s="34" t="str">
        <f>IFERROR(__xludf.DUMMYFUNCTION("""COMPUTED_VALUE"""),"PARACETAMOL")</f>
        <v>PARACETAMOL</v>
      </c>
      <c r="B586" s="34">
        <f>IFERROR(__xludf.DUMMYFUNCTION("""COMPUTED_VALUE"""),2.0)</f>
        <v>2</v>
      </c>
      <c r="C586" s="36">
        <f>IFERROR(__xludf.DUMMYFUNCTION("""COMPUTED_VALUE"""),46168.0)</f>
        <v>46168</v>
      </c>
      <c r="D586" s="34" t="str">
        <f>IFERROR(__xludf.DUMMYFUNCTION("""COMPUTED_VALUE"""),"LOGISTIK")</f>
        <v>LOGISTIK</v>
      </c>
    </row>
    <row r="587">
      <c r="A587" s="34" t="str">
        <f>IFERROR(__xludf.DUMMYFUNCTION("""COMPUTED_VALUE"""),"KUAS ROLL BULU KECIL 4INC")</f>
        <v>KUAS ROLL BULU KECIL 4INC</v>
      </c>
      <c r="B587" s="34">
        <f>IFERROR(__xludf.DUMMYFUNCTION("""COMPUTED_VALUE"""),1.0)</f>
        <v>1</v>
      </c>
      <c r="C587" s="36">
        <f>IFERROR(__xludf.DUMMYFUNCTION("""COMPUTED_VALUE"""),46168.0)</f>
        <v>46168</v>
      </c>
      <c r="D587" s="34" t="str">
        <f>IFERROR(__xludf.DUMMYFUNCTION("""COMPUTED_VALUE"""),"GA MUHTADI")</f>
        <v>GA MUHTADI</v>
      </c>
    </row>
    <row r="588">
      <c r="A588" s="34" t="str">
        <f>IFERROR(__xludf.DUMMYFUNCTION("""COMPUTED_VALUE"""),"AIR MINERAL")</f>
        <v>AIR MINERAL</v>
      </c>
      <c r="B588" s="34">
        <f>IFERROR(__xludf.DUMMYFUNCTION("""COMPUTED_VALUE"""),24.0)</f>
        <v>24</v>
      </c>
      <c r="C588" s="36">
        <f>IFERROR(__xludf.DUMMYFUNCTION("""COMPUTED_VALUE"""),46168.0)</f>
        <v>46168</v>
      </c>
      <c r="D588" s="34" t="str">
        <f>IFERROR(__xludf.DUMMYFUNCTION("""COMPUTED_VALUE"""),"PANTRY")</f>
        <v>PANTRY</v>
      </c>
    </row>
    <row r="589">
      <c r="A589" s="34" t="str">
        <f>IFERROR(__xludf.DUMMYFUNCTION("""COMPUTED_VALUE"""),"MASKER")</f>
        <v>MASKER</v>
      </c>
      <c r="B589" s="34">
        <f>IFERROR(__xludf.DUMMYFUNCTION("""COMPUTED_VALUE"""),1.0)</f>
        <v>1</v>
      </c>
      <c r="C589" s="36">
        <f>IFERROR(__xludf.DUMMYFUNCTION("""COMPUTED_VALUE"""),46168.0)</f>
        <v>46168</v>
      </c>
      <c r="D589" s="34" t="str">
        <f>IFERROR(__xludf.DUMMYFUNCTION("""COMPUTED_VALUE"""),"BAGAS")</f>
        <v>BAGAS</v>
      </c>
    </row>
    <row r="590">
      <c r="A590" s="34" t="str">
        <f>IFERROR(__xludf.DUMMYFUNCTION("""COMPUTED_VALUE"""),"LATEX SARUNG TANGAN ")</f>
        <v>LATEX SARUNG TANGAN </v>
      </c>
      <c r="B590" s="34">
        <f>IFERROR(__xludf.DUMMYFUNCTION("""COMPUTED_VALUE"""),1.0)</f>
        <v>1</v>
      </c>
      <c r="C590" s="36">
        <f>IFERROR(__xludf.DUMMYFUNCTION("""COMPUTED_VALUE"""),46168.0)</f>
        <v>46168</v>
      </c>
      <c r="D590" s="34" t="str">
        <f>IFERROR(__xludf.DUMMYFUNCTION("""COMPUTED_VALUE"""),"BAGAS")</f>
        <v>BAGAS</v>
      </c>
    </row>
    <row r="591">
      <c r="A591" s="34" t="str">
        <f>IFERROR(__xludf.DUMMYFUNCTION("""COMPUTED_VALUE"""),"TISSUE")</f>
        <v>TISSUE</v>
      </c>
      <c r="B591" s="34">
        <f>IFERROR(__xludf.DUMMYFUNCTION("""COMPUTED_VALUE"""),1.0)</f>
        <v>1</v>
      </c>
      <c r="C591" s="36">
        <f>IFERROR(__xludf.DUMMYFUNCTION("""COMPUTED_VALUE"""),46168.0)</f>
        <v>46168</v>
      </c>
      <c r="D591" s="34" t="str">
        <f>IFERROR(__xludf.DUMMYFUNCTION("""COMPUTED_VALUE"""),"BAGAS")</f>
        <v>BAGAS</v>
      </c>
    </row>
    <row r="592">
      <c r="A592" s="34" t="str">
        <f>IFERROR(__xludf.DUMMYFUNCTION("""COMPUTED_VALUE"""),"LAMPU PHILIPS LEDTUBE 18 W")</f>
        <v>LAMPU PHILIPS LEDTUBE 18 W</v>
      </c>
      <c r="B592" s="34">
        <f>IFERROR(__xludf.DUMMYFUNCTION("""COMPUTED_VALUE"""),17.0)</f>
        <v>17</v>
      </c>
      <c r="C592" s="36">
        <f>IFERROR(__xludf.DUMMYFUNCTION("""COMPUTED_VALUE"""),46168.0)</f>
        <v>46168</v>
      </c>
      <c r="D592" s="34" t="str">
        <f>IFERROR(__xludf.DUMMYFUNCTION("""COMPUTED_VALUE"""),"MTC")</f>
        <v>MTC</v>
      </c>
    </row>
    <row r="593">
      <c r="A593" s="34" t="str">
        <f>IFERROR(__xludf.DUMMYFUNCTION("""COMPUTED_VALUE"""),"LATEX SARUNG TANGAN ")</f>
        <v>LATEX SARUNG TANGAN </v>
      </c>
      <c r="B593" s="34">
        <f>IFERROR(__xludf.DUMMYFUNCTION("""COMPUTED_VALUE"""),2.0)</f>
        <v>2</v>
      </c>
      <c r="C593" s="36">
        <f>IFERROR(__xludf.DUMMYFUNCTION("""COMPUTED_VALUE"""),46169.0)</f>
        <v>46169</v>
      </c>
      <c r="D593" s="34" t="str">
        <f>IFERROR(__xludf.DUMMYFUNCTION("""COMPUTED_VALUE"""),"PANTRY")</f>
        <v>PANTRY</v>
      </c>
    </row>
    <row r="594">
      <c r="A594" s="34" t="str">
        <f>IFERROR(__xludf.DUMMYFUNCTION("""COMPUTED_VALUE"""),"MASKER")</f>
        <v>MASKER</v>
      </c>
      <c r="B594" s="34">
        <f>IFERROR(__xludf.DUMMYFUNCTION("""COMPUTED_VALUE"""),1.0)</f>
        <v>1</v>
      </c>
      <c r="C594" s="36">
        <f>IFERROR(__xludf.DUMMYFUNCTION("""COMPUTED_VALUE"""),46169.0)</f>
        <v>46169</v>
      </c>
      <c r="D594" s="34" t="str">
        <f>IFERROR(__xludf.DUMMYFUNCTION("""COMPUTED_VALUE"""),"PANTRY")</f>
        <v>PANTRY</v>
      </c>
    </row>
    <row r="595">
      <c r="A595" s="34" t="str">
        <f>IFERROR(__xludf.DUMMYFUNCTION("""COMPUTED_VALUE"""),"TISSUE")</f>
        <v>TISSUE</v>
      </c>
      <c r="B595" s="34">
        <f>IFERROR(__xludf.DUMMYFUNCTION("""COMPUTED_VALUE"""),2.0)</f>
        <v>2</v>
      </c>
      <c r="C595" s="36">
        <f>IFERROR(__xludf.DUMMYFUNCTION("""COMPUTED_VALUE"""),46169.0)</f>
        <v>46169</v>
      </c>
      <c r="D595" s="34" t="str">
        <f>IFERROR(__xludf.DUMMYFUNCTION("""COMPUTED_VALUE"""),"PANTRY")</f>
        <v>PANTRY</v>
      </c>
    </row>
    <row r="596">
      <c r="A596" s="34" t="str">
        <f>IFERROR(__xludf.DUMMYFUNCTION("""COMPUTED_VALUE"""),"MASKER")</f>
        <v>MASKER</v>
      </c>
      <c r="B596" s="34">
        <f>IFERROR(__xludf.DUMMYFUNCTION("""COMPUTED_VALUE"""),1.0)</f>
        <v>1</v>
      </c>
      <c r="C596" s="36">
        <f>IFERROR(__xludf.DUMMYFUNCTION("""COMPUTED_VALUE"""),46170.0)</f>
        <v>46170</v>
      </c>
      <c r="D596" s="34" t="str">
        <f>IFERROR(__xludf.DUMMYFUNCTION("""COMPUTED_VALUE"""),"ROY")</f>
        <v>ROY</v>
      </c>
    </row>
    <row r="597">
      <c r="A597" s="34" t="str">
        <f>IFERROR(__xludf.DUMMYFUNCTION("""COMPUTED_VALUE"""),"SUSU ")</f>
        <v>SUSU </v>
      </c>
      <c r="B597" s="34">
        <f>IFERROR(__xludf.DUMMYFUNCTION("""COMPUTED_VALUE"""),240.0)</f>
        <v>240</v>
      </c>
      <c r="C597" s="36">
        <f>IFERROR(__xludf.DUMMYFUNCTION("""COMPUTED_VALUE"""),46170.0)</f>
        <v>46170</v>
      </c>
      <c r="D597" s="34" t="str">
        <f>IFERROR(__xludf.DUMMYFUNCTION("""COMPUTED_VALUE"""),"PANTRY")</f>
        <v>PANTRY</v>
      </c>
    </row>
    <row r="598">
      <c r="A598" s="34" t="str">
        <f>IFERROR(__xludf.DUMMYFUNCTION("""COMPUTED_VALUE"""),"TISSUE")</f>
        <v>TISSUE</v>
      </c>
      <c r="B598" s="34">
        <f>IFERROR(__xludf.DUMMYFUNCTION("""COMPUTED_VALUE"""),1.0)</f>
        <v>1</v>
      </c>
      <c r="C598" s="36">
        <f>IFERROR(__xludf.DUMMYFUNCTION("""COMPUTED_VALUE"""),46170.0)</f>
        <v>46170</v>
      </c>
      <c r="D598" s="34" t="str">
        <f>IFERROR(__xludf.DUMMYFUNCTION("""COMPUTED_VALUE"""),"PANTRY")</f>
        <v>PANTRY</v>
      </c>
    </row>
    <row r="599">
      <c r="A599" s="34" t="str">
        <f>IFERROR(__xludf.DUMMYFUNCTION("""COMPUTED_VALUE"""),"MASKER")</f>
        <v>MASKER</v>
      </c>
      <c r="B599" s="34">
        <f>IFERROR(__xludf.DUMMYFUNCTION("""COMPUTED_VALUE"""),1.0)</f>
        <v>1</v>
      </c>
      <c r="C599" s="36">
        <f>IFERROR(__xludf.DUMMYFUNCTION("""COMPUTED_VALUE"""),46170.0)</f>
        <v>46170</v>
      </c>
      <c r="D599" s="34" t="str">
        <f>IFERROR(__xludf.DUMMYFUNCTION("""COMPUTED_VALUE"""),"DANI")</f>
        <v>DANI</v>
      </c>
    </row>
    <row r="600">
      <c r="A600" s="34" t="str">
        <f>IFERROR(__xludf.DUMMYFUNCTION("""COMPUTED_VALUE"""),"TISSUE")</f>
        <v>TISSUE</v>
      </c>
      <c r="B600" s="34">
        <f>IFERROR(__xludf.DUMMYFUNCTION("""COMPUTED_VALUE"""),1.0)</f>
        <v>1</v>
      </c>
      <c r="C600" s="36">
        <f>IFERROR(__xludf.DUMMYFUNCTION("""COMPUTED_VALUE"""),46170.0)</f>
        <v>46170</v>
      </c>
      <c r="D600" s="34" t="str">
        <f>IFERROR(__xludf.DUMMYFUNCTION("""COMPUTED_VALUE"""),"DANI")</f>
        <v>DANI</v>
      </c>
    </row>
    <row r="601">
      <c r="A601" s="34" t="str">
        <f>IFERROR(__xludf.DUMMYFUNCTION("""COMPUTED_VALUE"""),"LAKBAN GYPSUM")</f>
        <v>LAKBAN GYPSUM</v>
      </c>
      <c r="B601" s="34">
        <f>IFERROR(__xludf.DUMMYFUNCTION("""COMPUTED_VALUE"""),1.0)</f>
        <v>1</v>
      </c>
      <c r="C601" s="36">
        <f>IFERROR(__xludf.DUMMYFUNCTION("""COMPUTED_VALUE"""),46170.0)</f>
        <v>46170</v>
      </c>
      <c r="D601" s="34" t="str">
        <f>IFERROR(__xludf.DUMMYFUNCTION("""COMPUTED_VALUE"""),"GA MUHTADI")</f>
        <v>GA MUHTADI</v>
      </c>
    </row>
    <row r="602">
      <c r="A602" s="34" t="str">
        <f>IFERROR(__xludf.DUMMYFUNCTION("""COMPUTED_VALUE"""),"MASKER")</f>
        <v>MASKER</v>
      </c>
      <c r="B602" s="34">
        <f>IFERROR(__xludf.DUMMYFUNCTION("""COMPUTED_VALUE"""),1.0)</f>
        <v>1</v>
      </c>
      <c r="C602" s="36">
        <f>IFERROR(__xludf.DUMMYFUNCTION("""COMPUTED_VALUE"""),46170.0)</f>
        <v>46170</v>
      </c>
      <c r="D602" s="34" t="str">
        <f>IFERROR(__xludf.DUMMYFUNCTION("""COMPUTED_VALUE"""),"PPIC")</f>
        <v>PPIC</v>
      </c>
    </row>
    <row r="603">
      <c r="A603" s="34" t="str">
        <f>IFERROR(__xludf.DUMMYFUNCTION("""COMPUTED_VALUE"""),"MASKER")</f>
        <v>MASKER</v>
      </c>
      <c r="B603" s="34">
        <f>IFERROR(__xludf.DUMMYFUNCTION("""COMPUTED_VALUE"""),1.0)</f>
        <v>1</v>
      </c>
      <c r="C603" s="36">
        <f>IFERROR(__xludf.DUMMYFUNCTION("""COMPUTED_VALUE"""),46170.0)</f>
        <v>46170</v>
      </c>
      <c r="D603" s="34" t="str">
        <f>IFERROR(__xludf.DUMMYFUNCTION("""COMPUTED_VALUE"""),"PPIC")</f>
        <v>PPIC</v>
      </c>
    </row>
    <row r="604">
      <c r="A604" s="34" t="str">
        <f>IFERROR(__xludf.DUMMYFUNCTION("""COMPUTED_VALUE"""),"TISSUE")</f>
        <v>TISSUE</v>
      </c>
      <c r="B604" s="34">
        <f>IFERROR(__xludf.DUMMYFUNCTION("""COMPUTED_VALUE"""),2.0)</f>
        <v>2</v>
      </c>
      <c r="C604" s="36">
        <f>IFERROR(__xludf.DUMMYFUNCTION("""COMPUTED_VALUE"""),46170.0)</f>
        <v>46170</v>
      </c>
      <c r="D604" s="34" t="str">
        <f>IFERROR(__xludf.DUMMYFUNCTION("""COMPUTED_VALUE"""),"PPIC")</f>
        <v>PPIC</v>
      </c>
    </row>
    <row r="605">
      <c r="A605" s="34" t="str">
        <f>IFERROR(__xludf.DUMMYFUNCTION("""COMPUTED_VALUE"""),"MAP PLASTIK BENING")</f>
        <v>MAP PLASTIK BENING</v>
      </c>
      <c r="B605" s="34">
        <f>IFERROR(__xludf.DUMMYFUNCTION("""COMPUTED_VALUE"""),5.0)</f>
        <v>5</v>
      </c>
      <c r="C605" s="36">
        <f>IFERROR(__xludf.DUMMYFUNCTION("""COMPUTED_VALUE"""),46170.0)</f>
        <v>46170</v>
      </c>
      <c r="D605" s="34" t="str">
        <f>IFERROR(__xludf.DUMMYFUNCTION("""COMPUTED_VALUE"""),"PPIC")</f>
        <v>PPIC</v>
      </c>
    </row>
    <row r="606">
      <c r="A606" s="34" t="str">
        <f>IFERROR(__xludf.DUMMYFUNCTION("""COMPUTED_VALUE"""),"GUNTING")</f>
        <v>GUNTING</v>
      </c>
      <c r="B606" s="34">
        <f>IFERROR(__xludf.DUMMYFUNCTION("""COMPUTED_VALUE"""),1.0)</f>
        <v>1</v>
      </c>
      <c r="C606" s="36">
        <f>IFERROR(__xludf.DUMMYFUNCTION("""COMPUTED_VALUE"""),46170.0)</f>
        <v>46170</v>
      </c>
      <c r="D606" s="34" t="str">
        <f>IFERROR(__xludf.DUMMYFUNCTION("""COMPUTED_VALUE"""),"PPIC")</f>
        <v>PPIC</v>
      </c>
    </row>
    <row r="607">
      <c r="A607" s="34" t="str">
        <f>IFERROR(__xludf.DUMMYFUNCTION("""COMPUTED_VALUE"""),"KERTAS HVS A4")</f>
        <v>KERTAS HVS A4</v>
      </c>
      <c r="B607" s="34">
        <f>IFERROR(__xludf.DUMMYFUNCTION("""COMPUTED_VALUE"""),10.0)</f>
        <v>10</v>
      </c>
      <c r="C607" s="36">
        <f>IFERROR(__xludf.DUMMYFUNCTION("""COMPUTED_VALUE"""),46170.0)</f>
        <v>46170</v>
      </c>
      <c r="D607" s="34" t="str">
        <f>IFERROR(__xludf.DUMMYFUNCTION("""COMPUTED_VALUE"""),"PPIC")</f>
        <v>PPIC</v>
      </c>
    </row>
    <row r="608">
      <c r="A608" s="34" t="str">
        <f>IFERROR(__xludf.DUMMYFUNCTION("""COMPUTED_VALUE"""),"STICKY NOTE")</f>
        <v>STICKY NOTE</v>
      </c>
      <c r="B608" s="34">
        <f>IFERROR(__xludf.DUMMYFUNCTION("""COMPUTED_VALUE"""),1.0)</f>
        <v>1</v>
      </c>
      <c r="C608" s="36">
        <f>IFERROR(__xludf.DUMMYFUNCTION("""COMPUTED_VALUE"""),46170.0)</f>
        <v>46170</v>
      </c>
      <c r="D608" s="34" t="str">
        <f>IFERROR(__xludf.DUMMYFUNCTION("""COMPUTED_VALUE"""),"PPIC")</f>
        <v>PPIC</v>
      </c>
    </row>
    <row r="609">
      <c r="A609" s="34" t="str">
        <f>IFERROR(__xludf.DUMMYFUNCTION("""COMPUTED_VALUE"""),"MASKER")</f>
        <v>MASKER</v>
      </c>
      <c r="B609" s="34">
        <f>IFERROR(__xludf.DUMMYFUNCTION("""COMPUTED_VALUE"""),1.0)</f>
        <v>1</v>
      </c>
      <c r="C609" s="36">
        <f>IFERROR(__xludf.DUMMYFUNCTION("""COMPUTED_VALUE"""),46171.0)</f>
        <v>46171</v>
      </c>
      <c r="D609" s="34" t="str">
        <f>IFERROR(__xludf.DUMMYFUNCTION("""COMPUTED_VALUE"""),"YOSYTA")</f>
        <v>YOSYTA</v>
      </c>
    </row>
    <row r="610">
      <c r="A610" s="34" t="str">
        <f>IFERROR(__xludf.DUMMYFUNCTION("""COMPUTED_VALUE"""),"BATU BATERAI A2")</f>
        <v>BATU BATERAI A2</v>
      </c>
      <c r="B610" s="34">
        <f>IFERROR(__xludf.DUMMYFUNCTION("""COMPUTED_VALUE"""),12.0)</f>
        <v>12</v>
      </c>
      <c r="C610" s="36">
        <f>IFERROR(__xludf.DUMMYFUNCTION("""COMPUTED_VALUE"""),46171.0)</f>
        <v>46171</v>
      </c>
      <c r="D610" s="34" t="str">
        <f>IFERROR(__xludf.DUMMYFUNCTION("""COMPUTED_VALUE"""),"YOSYTA")</f>
        <v>YOSYTA</v>
      </c>
    </row>
    <row r="611">
      <c r="A611" s="34" t="str">
        <f>IFERROR(__xludf.DUMMYFUNCTION("""COMPUTED_VALUE"""),"BATU BATERAI A3")</f>
        <v>BATU BATERAI A3</v>
      </c>
      <c r="B611" s="34">
        <f>IFERROR(__xludf.DUMMYFUNCTION("""COMPUTED_VALUE"""),4.0)</f>
        <v>4</v>
      </c>
      <c r="C611" s="36">
        <f>IFERROR(__xludf.DUMMYFUNCTION("""COMPUTED_VALUE"""),46171.0)</f>
        <v>46171</v>
      </c>
      <c r="D611" s="34" t="str">
        <f>IFERROR(__xludf.DUMMYFUNCTION("""COMPUTED_VALUE"""),"YOSYTA")</f>
        <v>YOSYTA</v>
      </c>
    </row>
    <row r="612">
      <c r="A612" s="34" t="str">
        <f>IFERROR(__xludf.DUMMYFUNCTION("""COMPUTED_VALUE"""),"ISI CUTTER")</f>
        <v>ISI CUTTER</v>
      </c>
      <c r="B612" s="34">
        <f>IFERROR(__xludf.DUMMYFUNCTION("""COMPUTED_VALUE"""),1.0)</f>
        <v>1</v>
      </c>
      <c r="C612" s="36">
        <f>IFERROR(__xludf.DUMMYFUNCTION("""COMPUTED_VALUE"""),46171.0)</f>
        <v>46171</v>
      </c>
      <c r="D612" s="34" t="str">
        <f>IFERROR(__xludf.DUMMYFUNCTION("""COMPUTED_VALUE"""),"YOSYTA")</f>
        <v>YOSYTA</v>
      </c>
    </row>
    <row r="613">
      <c r="A613" s="34" t="str">
        <f>IFERROR(__xludf.DUMMYFUNCTION("""COMPUTED_VALUE"""),"PULPEN HITAM")</f>
        <v>PULPEN HITAM</v>
      </c>
      <c r="B613" s="34">
        <f>IFERROR(__xludf.DUMMYFUNCTION("""COMPUTED_VALUE"""),1.0)</f>
        <v>1</v>
      </c>
      <c r="C613" s="36">
        <f>IFERROR(__xludf.DUMMYFUNCTION("""COMPUTED_VALUE"""),46171.0)</f>
        <v>46171</v>
      </c>
      <c r="D613" s="34" t="str">
        <f>IFERROR(__xludf.DUMMYFUNCTION("""COMPUTED_VALUE"""),"YOSYTA")</f>
        <v>YOSYTA</v>
      </c>
    </row>
    <row r="614">
      <c r="A614" s="34" t="str">
        <f>IFERROR(__xludf.DUMMYFUNCTION("""COMPUTED_VALUE"""),"MASKER")</f>
        <v>MASKER</v>
      </c>
      <c r="B614" s="34">
        <f>IFERROR(__xludf.DUMMYFUNCTION("""COMPUTED_VALUE"""),1.0)</f>
        <v>1</v>
      </c>
      <c r="C614" s="36">
        <f>IFERROR(__xludf.DUMMYFUNCTION("""COMPUTED_VALUE"""),46171.0)</f>
        <v>46171</v>
      </c>
      <c r="D614" s="34" t="str">
        <f>IFERROR(__xludf.DUMMYFUNCTION("""COMPUTED_VALUE"""),"FITA")</f>
        <v>FITA</v>
      </c>
    </row>
    <row r="615">
      <c r="A615" s="34" t="str">
        <f>IFERROR(__xludf.DUMMYFUNCTION("""COMPUTED_VALUE"""),"MASKER")</f>
        <v>MASKER</v>
      </c>
      <c r="B615" s="34">
        <f>IFERROR(__xludf.DUMMYFUNCTION("""COMPUTED_VALUE"""),1.0)</f>
        <v>1</v>
      </c>
      <c r="C615" s="36">
        <f>IFERROR(__xludf.DUMMYFUNCTION("""COMPUTED_VALUE"""),46171.0)</f>
        <v>46171</v>
      </c>
      <c r="D615" s="34" t="str">
        <f>IFERROR(__xludf.DUMMYFUNCTION("""COMPUTED_VALUE"""),"FITA")</f>
        <v>FITA</v>
      </c>
    </row>
    <row r="616">
      <c r="A616" s="34" t="str">
        <f>IFERROR(__xludf.DUMMYFUNCTION("""COMPUTED_VALUE"""),"TISSUE")</f>
        <v>TISSUE</v>
      </c>
      <c r="B616" s="34">
        <f>IFERROR(__xludf.DUMMYFUNCTION("""COMPUTED_VALUE"""),1.0)</f>
        <v>1</v>
      </c>
      <c r="C616" s="36">
        <f>IFERROR(__xludf.DUMMYFUNCTION("""COMPUTED_VALUE"""),46171.0)</f>
        <v>46171</v>
      </c>
      <c r="D616" s="34" t="str">
        <f>IFERROR(__xludf.DUMMYFUNCTION("""COMPUTED_VALUE"""),"FITA")</f>
        <v>FITA</v>
      </c>
    </row>
    <row r="617">
      <c r="A617" s="34" t="str">
        <f>IFERROR(__xludf.DUMMYFUNCTION("""COMPUTED_VALUE"""),"KERTAS HVS A4")</f>
        <v>KERTAS HVS A4</v>
      </c>
      <c r="B617" s="34">
        <f>IFERROR(__xludf.DUMMYFUNCTION("""COMPUTED_VALUE"""),2.0)</f>
        <v>2</v>
      </c>
      <c r="C617" s="36">
        <f>IFERROR(__xludf.DUMMYFUNCTION("""COMPUTED_VALUE"""),46171.0)</f>
        <v>46171</v>
      </c>
      <c r="D617" s="34" t="str">
        <f>IFERROR(__xludf.DUMMYFUNCTION("""COMPUTED_VALUE"""),"MIREL")</f>
        <v>MIREL</v>
      </c>
    </row>
    <row r="618">
      <c r="A618" s="34" t="str">
        <f>IFERROR(__xludf.DUMMYFUNCTION("""COMPUTED_VALUE"""),"TISSUE")</f>
        <v>TISSUE</v>
      </c>
      <c r="B618" s="34">
        <f>IFERROR(__xludf.DUMMYFUNCTION("""COMPUTED_VALUE"""),1.0)</f>
        <v>1</v>
      </c>
      <c r="C618" s="36">
        <f>IFERROR(__xludf.DUMMYFUNCTION("""COMPUTED_VALUE"""),46171.0)</f>
        <v>46171</v>
      </c>
      <c r="D618" s="34" t="str">
        <f>IFERROR(__xludf.DUMMYFUNCTION("""COMPUTED_VALUE"""),"DANI")</f>
        <v>DANI</v>
      </c>
    </row>
    <row r="619">
      <c r="A619" s="34" t="str">
        <f>IFERROR(__xludf.DUMMYFUNCTION("""COMPUTED_VALUE"""),"MASKER")</f>
        <v>MASKER</v>
      </c>
      <c r="B619" s="34">
        <f>IFERROR(__xludf.DUMMYFUNCTION("""COMPUTED_VALUE"""),1.0)</f>
        <v>1</v>
      </c>
      <c r="C619" s="36">
        <f>IFERROR(__xludf.DUMMYFUNCTION("""COMPUTED_VALUE"""),46171.0)</f>
        <v>46171</v>
      </c>
      <c r="D619" s="34" t="str">
        <f>IFERROR(__xludf.DUMMYFUNCTION("""COMPUTED_VALUE"""),"DANI")</f>
        <v>DANI</v>
      </c>
    </row>
    <row r="620">
      <c r="A620" s="34" t="str">
        <f>IFERROR(__xludf.DUMMYFUNCTION("""COMPUTED_VALUE"""),"LATEX SARUNG TANGAN ")</f>
        <v>LATEX SARUNG TANGAN </v>
      </c>
      <c r="B620" s="34">
        <f>IFERROR(__xludf.DUMMYFUNCTION("""COMPUTED_VALUE"""),1.0)</f>
        <v>1</v>
      </c>
      <c r="C620" s="36">
        <f>IFERROR(__xludf.DUMMYFUNCTION("""COMPUTED_VALUE"""),46171.0)</f>
        <v>46171</v>
      </c>
      <c r="D620" s="34" t="str">
        <f>IFERROR(__xludf.DUMMYFUNCTION("""COMPUTED_VALUE"""),"DANI")</f>
        <v>DANI</v>
      </c>
    </row>
    <row r="621">
      <c r="A621" s="34" t="str">
        <f>IFERROR(__xludf.DUMMYFUNCTION("""COMPUTED_VALUE"""),"SABUN CUCI TANGAN")</f>
        <v>SABUN CUCI TANGAN</v>
      </c>
      <c r="B621" s="34">
        <f>IFERROR(__xludf.DUMMYFUNCTION("""COMPUTED_VALUE"""),1.0)</f>
        <v>1</v>
      </c>
      <c r="C621" s="36">
        <f>IFERROR(__xludf.DUMMYFUNCTION("""COMPUTED_VALUE"""),46171.0)</f>
        <v>46171</v>
      </c>
      <c r="D621" s="34" t="str">
        <f>IFERROR(__xludf.DUMMYFUNCTION("""COMPUTED_VALUE"""),"FAREL")</f>
        <v>FAREL</v>
      </c>
    </row>
    <row r="622">
      <c r="A622" s="34" t="str">
        <f>IFERROR(__xludf.DUMMYFUNCTION("""COMPUTED_VALUE"""),"LATEX SARUNG TANGAN ")</f>
        <v>LATEX SARUNG TANGAN </v>
      </c>
      <c r="B622" s="34">
        <f>IFERROR(__xludf.DUMMYFUNCTION("""COMPUTED_VALUE"""),1.0)</f>
        <v>1</v>
      </c>
      <c r="C622" s="36">
        <f>IFERROR(__xludf.DUMMYFUNCTION("""COMPUTED_VALUE"""),46171.0)</f>
        <v>46171</v>
      </c>
      <c r="D622" s="34" t="str">
        <f>IFERROR(__xludf.DUMMYFUNCTION("""COMPUTED_VALUE"""),"FARHAN")</f>
        <v>FARHAN</v>
      </c>
    </row>
    <row r="623">
      <c r="A623" s="34" t="str">
        <f>IFERROR(__xludf.DUMMYFUNCTION("""COMPUTED_VALUE"""),"MASKER")</f>
        <v>MASKER</v>
      </c>
      <c r="B623" s="34">
        <f>IFERROR(__xludf.DUMMYFUNCTION("""COMPUTED_VALUE"""),1.0)</f>
        <v>1</v>
      </c>
      <c r="C623" s="36">
        <f>IFERROR(__xludf.DUMMYFUNCTION("""COMPUTED_VALUE"""),46171.0)</f>
        <v>46171</v>
      </c>
      <c r="D623" s="34" t="str">
        <f>IFERROR(__xludf.DUMMYFUNCTION("""COMPUTED_VALUE"""),"FARHAN")</f>
        <v>FARHAN</v>
      </c>
    </row>
    <row r="624">
      <c r="A624" s="34" t="str">
        <f>IFERROR(__xludf.DUMMYFUNCTION("""COMPUTED_VALUE"""),"MASKER")</f>
        <v>MASKER</v>
      </c>
      <c r="B624" s="34">
        <f>IFERROR(__xludf.DUMMYFUNCTION("""COMPUTED_VALUE"""),1.0)</f>
        <v>1</v>
      </c>
      <c r="C624" s="36">
        <f>IFERROR(__xludf.DUMMYFUNCTION("""COMPUTED_VALUE"""),46172.0)</f>
        <v>46172</v>
      </c>
      <c r="D624" s="34" t="str">
        <f>IFERROR(__xludf.DUMMYFUNCTION("""COMPUTED_VALUE"""),"FITA")</f>
        <v>FITA</v>
      </c>
    </row>
    <row r="625">
      <c r="A625" s="34" t="str">
        <f>IFERROR(__xludf.DUMMYFUNCTION("""COMPUTED_VALUE"""),"TINTA PRINTER L3201 HITAM")</f>
        <v>TINTA PRINTER L3201 HITAM</v>
      </c>
      <c r="B625" s="34">
        <f>IFERROR(__xludf.DUMMYFUNCTION("""COMPUTED_VALUE"""),1.0)</f>
        <v>1</v>
      </c>
      <c r="C625" s="36">
        <f>IFERROR(__xludf.DUMMYFUNCTION("""COMPUTED_VALUE"""),46172.0)</f>
        <v>46172</v>
      </c>
      <c r="D625" s="34" t="str">
        <f>IFERROR(__xludf.DUMMYFUNCTION("""COMPUTED_VALUE"""),"FITA")</f>
        <v>FITA</v>
      </c>
    </row>
    <row r="626">
      <c r="A626" s="34" t="str">
        <f>IFERROR(__xludf.DUMMYFUNCTION("""COMPUTED_VALUE"""),"AIR MINERAL")</f>
        <v>AIR MINERAL</v>
      </c>
      <c r="B626" s="34">
        <f>IFERROR(__xludf.DUMMYFUNCTION("""COMPUTED_VALUE"""),48.0)</f>
        <v>48</v>
      </c>
      <c r="C626" s="36">
        <f>IFERROR(__xludf.DUMMYFUNCTION("""COMPUTED_VALUE"""),46172.0)</f>
        <v>46172</v>
      </c>
      <c r="D626" s="34" t="str">
        <f>IFERROR(__xludf.DUMMYFUNCTION("""COMPUTED_VALUE"""),"PANTRY")</f>
        <v>PANTRY</v>
      </c>
    </row>
    <row r="627">
      <c r="A627" s="34" t="str">
        <f>IFERROR(__xludf.DUMMYFUNCTION("""COMPUTED_VALUE"""),"MASKER")</f>
        <v>MASKER</v>
      </c>
      <c r="B627" s="34">
        <f>IFERROR(__xludf.DUMMYFUNCTION("""COMPUTED_VALUE"""),1.0)</f>
        <v>1</v>
      </c>
      <c r="C627" s="36">
        <f>IFERROR(__xludf.DUMMYFUNCTION("""COMPUTED_VALUE"""),46172.0)</f>
        <v>46172</v>
      </c>
      <c r="D627" s="34" t="str">
        <f>IFERROR(__xludf.DUMMYFUNCTION("""COMPUTED_VALUE"""),"BAGAS")</f>
        <v>BAGAS</v>
      </c>
    </row>
    <row r="628">
      <c r="A628" s="34" t="str">
        <f>IFERROR(__xludf.DUMMYFUNCTION("""COMPUTED_VALUE"""),"LATEX SARUNG TANGAN ")</f>
        <v>LATEX SARUNG TANGAN </v>
      </c>
      <c r="B628" s="34">
        <f>IFERROR(__xludf.DUMMYFUNCTION("""COMPUTED_VALUE"""),1.0)</f>
        <v>1</v>
      </c>
      <c r="C628" s="36">
        <f>IFERROR(__xludf.DUMMYFUNCTION("""COMPUTED_VALUE"""),46172.0)</f>
        <v>46172</v>
      </c>
      <c r="D628" s="34" t="str">
        <f>IFERROR(__xludf.DUMMYFUNCTION("""COMPUTED_VALUE"""),"BAGAS")</f>
        <v>BAGAS</v>
      </c>
    </row>
    <row r="629">
      <c r="A629" s="34" t="str">
        <f>IFERROR(__xludf.DUMMYFUNCTION("""COMPUTED_VALUE"""),"DETERJEN CAIR")</f>
        <v>DETERJEN CAIR</v>
      </c>
      <c r="B629" s="34">
        <f>IFERROR(__xludf.DUMMYFUNCTION("""COMPUTED_VALUE"""),2.0)</f>
        <v>2</v>
      </c>
      <c r="C629" s="36">
        <f>IFERROR(__xludf.DUMMYFUNCTION("""COMPUTED_VALUE"""),46174.0)</f>
        <v>46174</v>
      </c>
      <c r="D629" s="34" t="str">
        <f>IFERROR(__xludf.DUMMYFUNCTION("""COMPUTED_VALUE"""),"GA")</f>
        <v>GA</v>
      </c>
    </row>
    <row r="630">
      <c r="A630" s="34" t="str">
        <f>IFERROR(__xludf.DUMMYFUNCTION("""COMPUTED_VALUE"""),"DETERJEN PEWANGI PAKAIAN")</f>
        <v>DETERJEN PEWANGI PAKAIAN</v>
      </c>
      <c r="B630" s="34">
        <f>IFERROR(__xludf.DUMMYFUNCTION("""COMPUTED_VALUE"""),3.0)</f>
        <v>3</v>
      </c>
      <c r="C630" s="36">
        <f>IFERROR(__xludf.DUMMYFUNCTION("""COMPUTED_VALUE"""),46174.0)</f>
        <v>46174</v>
      </c>
      <c r="D630" s="34" t="str">
        <f>IFERROR(__xludf.DUMMYFUNCTION("""COMPUTED_VALUE"""),"GA")</f>
        <v>GA</v>
      </c>
    </row>
    <row r="631">
      <c r="A631" s="34" t="str">
        <f>IFERROR(__xludf.DUMMYFUNCTION("""COMPUTED_VALUE"""),"SALONPAS")</f>
        <v>SALONPAS</v>
      </c>
      <c r="B631" s="34">
        <f>IFERROR(__xludf.DUMMYFUNCTION("""COMPUTED_VALUE"""),1.0)</f>
        <v>1</v>
      </c>
      <c r="C631" s="36">
        <f>IFERROR(__xludf.DUMMYFUNCTION("""COMPUTED_VALUE"""),46174.0)</f>
        <v>46174</v>
      </c>
      <c r="D631" s="34" t="str">
        <f>IFERROR(__xludf.DUMMYFUNCTION("""COMPUTED_VALUE"""),"ATSAL")</f>
        <v>ATSAL</v>
      </c>
    </row>
    <row r="632">
      <c r="A632" s="34" t="str">
        <f>IFERROR(__xludf.DUMMYFUNCTION("""COMPUTED_VALUE"""),"SPIDOL PUTIH")</f>
        <v>SPIDOL PUTIH</v>
      </c>
      <c r="B632" s="34">
        <f>IFERROR(__xludf.DUMMYFUNCTION("""COMPUTED_VALUE"""),2.0)</f>
        <v>2</v>
      </c>
      <c r="C632" s="36">
        <f>IFERROR(__xludf.DUMMYFUNCTION("""COMPUTED_VALUE"""),46174.0)</f>
        <v>46174</v>
      </c>
      <c r="D632" s="34" t="str">
        <f>IFERROR(__xludf.DUMMYFUNCTION("""COMPUTED_VALUE"""),"ATSAL")</f>
        <v>ATSAL</v>
      </c>
    </row>
    <row r="633">
      <c r="A633" s="34" t="str">
        <f>IFERROR(__xludf.DUMMYFUNCTION("""COMPUTED_VALUE"""),"GLADE ")</f>
        <v>GLADE </v>
      </c>
      <c r="B633" s="34">
        <f>IFERROR(__xludf.DUMMYFUNCTION("""COMPUTED_VALUE"""),1.0)</f>
        <v>1</v>
      </c>
      <c r="C633" s="36">
        <f>IFERROR(__xludf.DUMMYFUNCTION("""COMPUTED_VALUE"""),46175.0)</f>
        <v>46175</v>
      </c>
      <c r="D633" s="34" t="str">
        <f>IFERROR(__xludf.DUMMYFUNCTION("""COMPUTED_VALUE"""),"GA MUH")</f>
        <v>GA MUH</v>
      </c>
    </row>
    <row r="634">
      <c r="A634" s="34" t="str">
        <f>IFERROR(__xludf.DUMMYFUNCTION("""COMPUTED_VALUE"""),"HAND SANITIZER CAIR 5 LITER PURELIZER ASEPTIC 5L")</f>
        <v>HAND SANITIZER CAIR 5 LITER PURELIZER ASEPTIC 5L</v>
      </c>
      <c r="B634" s="34">
        <f>IFERROR(__xludf.DUMMYFUNCTION("""COMPUTED_VALUE"""),1.0)</f>
        <v>1</v>
      </c>
      <c r="C634" s="36">
        <f>IFERROR(__xludf.DUMMYFUNCTION("""COMPUTED_VALUE"""),46175.0)</f>
        <v>46175</v>
      </c>
      <c r="D634" s="34" t="str">
        <f>IFERROR(__xludf.DUMMYFUNCTION("""COMPUTED_VALUE"""),"GA")</f>
        <v>GA</v>
      </c>
    </row>
    <row r="635">
      <c r="A635" s="34" t="str">
        <f>IFERROR(__xludf.DUMMYFUNCTION("""COMPUTED_VALUE"""),"SABUN CUCI PIRING ")</f>
        <v>SABUN CUCI PIRING </v>
      </c>
      <c r="B635" s="34">
        <f>IFERROR(__xludf.DUMMYFUNCTION("""COMPUTED_VALUE"""),1.0)</f>
        <v>1</v>
      </c>
      <c r="C635" s="36">
        <f>IFERROR(__xludf.DUMMYFUNCTION("""COMPUTED_VALUE"""),46175.0)</f>
        <v>46175</v>
      </c>
      <c r="D635" s="34" t="str">
        <f>IFERROR(__xludf.DUMMYFUNCTION("""COMPUTED_VALUE"""),"GA")</f>
        <v>GA</v>
      </c>
    </row>
    <row r="636">
      <c r="A636" s="34" t="str">
        <f>IFERROR(__xludf.DUMMYFUNCTION("""COMPUTED_VALUE"""),"MASKER")</f>
        <v>MASKER</v>
      </c>
      <c r="B636" s="34">
        <f>IFERROR(__xludf.DUMMYFUNCTION("""COMPUTED_VALUE"""),3.0)</f>
        <v>3</v>
      </c>
      <c r="C636" s="36">
        <f>IFERROR(__xludf.DUMMYFUNCTION("""COMPUTED_VALUE"""),46175.0)</f>
        <v>46175</v>
      </c>
      <c r="D636" s="34" t="str">
        <f>IFERROR(__xludf.DUMMYFUNCTION("""COMPUTED_VALUE"""),"ILYAS")</f>
        <v>ILYAS</v>
      </c>
    </row>
    <row r="637">
      <c r="A637" s="34" t="str">
        <f>IFERROR(__xludf.DUMMYFUNCTION("""COMPUTED_VALUE"""),"MASKER")</f>
        <v>MASKER</v>
      </c>
      <c r="B637" s="34">
        <f>IFERROR(__xludf.DUMMYFUNCTION("""COMPUTED_VALUE"""),2.0)</f>
        <v>2</v>
      </c>
      <c r="C637" s="36">
        <f>IFERROR(__xludf.DUMMYFUNCTION("""COMPUTED_VALUE"""),46175.0)</f>
        <v>46175</v>
      </c>
      <c r="D637" s="34" t="str">
        <f>IFERROR(__xludf.DUMMYFUNCTION("""COMPUTED_VALUE"""),"ANISA")</f>
        <v>ANISA</v>
      </c>
    </row>
    <row r="638">
      <c r="A638" s="34" t="str">
        <f>IFERROR(__xludf.DUMMYFUNCTION("""COMPUTED_VALUE"""),"LATEX SARUNG TANGAN ")</f>
        <v>LATEX SARUNG TANGAN </v>
      </c>
      <c r="B638" s="34">
        <f>IFERROR(__xludf.DUMMYFUNCTION("""COMPUTED_VALUE"""),2.0)</f>
        <v>2</v>
      </c>
      <c r="C638" s="36">
        <f>IFERROR(__xludf.DUMMYFUNCTION("""COMPUTED_VALUE"""),46175.0)</f>
        <v>46175</v>
      </c>
      <c r="D638" s="34" t="str">
        <f>IFERROR(__xludf.DUMMYFUNCTION("""COMPUTED_VALUE"""),"DANI")</f>
        <v>DANI</v>
      </c>
    </row>
    <row r="639">
      <c r="A639" s="34" t="str">
        <f>IFERROR(__xludf.DUMMYFUNCTION("""COMPUTED_VALUE"""),"MASKER")</f>
        <v>MASKER</v>
      </c>
      <c r="B639" s="34">
        <f>IFERROR(__xludf.DUMMYFUNCTION("""COMPUTED_VALUE"""),2.0)</f>
        <v>2</v>
      </c>
      <c r="C639" s="36">
        <f>IFERROR(__xludf.DUMMYFUNCTION("""COMPUTED_VALUE"""),46175.0)</f>
        <v>46175</v>
      </c>
      <c r="D639" s="34" t="str">
        <f>IFERROR(__xludf.DUMMYFUNCTION("""COMPUTED_VALUE"""),"DANI")</f>
        <v>DANI</v>
      </c>
    </row>
    <row r="640">
      <c r="A640" s="34" t="str">
        <f>IFERROR(__xludf.DUMMYFUNCTION("""COMPUTED_VALUE"""),"LATEX SARUNG TANGAN ")</f>
        <v>LATEX SARUNG TANGAN </v>
      </c>
      <c r="B640" s="34">
        <f>IFERROR(__xludf.DUMMYFUNCTION("""COMPUTED_VALUE"""),1.0)</f>
        <v>1</v>
      </c>
      <c r="C640" s="36">
        <f>IFERROR(__xludf.DUMMYFUNCTION("""COMPUTED_VALUE"""),46176.0)</f>
        <v>46176</v>
      </c>
      <c r="D640" s="34" t="str">
        <f>IFERROR(__xludf.DUMMYFUNCTION("""COMPUTED_VALUE"""),"FARHAN")</f>
        <v>FARHAN</v>
      </c>
    </row>
    <row r="641">
      <c r="A641" s="34" t="str">
        <f>IFERROR(__xludf.DUMMYFUNCTION("""COMPUTED_VALUE"""),"MASKER")</f>
        <v>MASKER</v>
      </c>
      <c r="B641" s="34">
        <f>IFERROR(__xludf.DUMMYFUNCTION("""COMPUTED_VALUE"""),1.0)</f>
        <v>1</v>
      </c>
      <c r="C641" s="36">
        <f>IFERROR(__xludf.DUMMYFUNCTION("""COMPUTED_VALUE"""),46176.0)</f>
        <v>46176</v>
      </c>
      <c r="D641" s="34" t="str">
        <f>IFERROR(__xludf.DUMMYFUNCTION("""COMPUTED_VALUE"""),"FARHAN")</f>
        <v>FARHAN</v>
      </c>
    </row>
    <row r="642">
      <c r="A642" s="34" t="str">
        <f>IFERROR(__xludf.DUMMYFUNCTION("""COMPUTED_VALUE"""),"TISSUE")</f>
        <v>TISSUE</v>
      </c>
      <c r="B642" s="34">
        <f>IFERROR(__xludf.DUMMYFUNCTION("""COMPUTED_VALUE"""),1.0)</f>
        <v>1</v>
      </c>
      <c r="C642" s="36">
        <f>IFERROR(__xludf.DUMMYFUNCTION("""COMPUTED_VALUE"""),46176.0)</f>
        <v>46176</v>
      </c>
      <c r="D642" s="34" t="str">
        <f>IFERROR(__xludf.DUMMYFUNCTION("""COMPUTED_VALUE"""),"FARHAN")</f>
        <v>FARHAN</v>
      </c>
    </row>
    <row r="643">
      <c r="A643" s="34" t="str">
        <f>IFERROR(__xludf.DUMMYFUNCTION("""COMPUTED_VALUE"""),"MASKER")</f>
        <v>MASKER</v>
      </c>
      <c r="B643" s="34">
        <f>IFERROR(__xludf.DUMMYFUNCTION("""COMPUTED_VALUE"""),3.0)</f>
        <v>3</v>
      </c>
      <c r="C643" s="36">
        <f>IFERROR(__xludf.DUMMYFUNCTION("""COMPUTED_VALUE"""),46176.0)</f>
        <v>46176</v>
      </c>
      <c r="D643" s="34" t="str">
        <f>IFERROR(__xludf.DUMMYFUNCTION("""COMPUTED_VALUE"""),"ILYAS")</f>
        <v>ILYAS</v>
      </c>
    </row>
    <row r="644">
      <c r="A644" s="34" t="str">
        <f>IFERROR(__xludf.DUMMYFUNCTION("""COMPUTED_VALUE"""),"DOUBLE TAPE PUTIH")</f>
        <v>DOUBLE TAPE PUTIH</v>
      </c>
      <c r="B644" s="34">
        <f>IFERROR(__xludf.DUMMYFUNCTION("""COMPUTED_VALUE"""),1.0)</f>
        <v>1</v>
      </c>
      <c r="C644" s="36">
        <f>IFERROR(__xludf.DUMMYFUNCTION("""COMPUTED_VALUE"""),46176.0)</f>
        <v>46176</v>
      </c>
      <c r="D644" s="34" t="str">
        <f>IFERROR(__xludf.DUMMYFUNCTION("""COMPUTED_VALUE"""),"HILAL")</f>
        <v>HILAL</v>
      </c>
    </row>
    <row r="645">
      <c r="A645" s="34" t="str">
        <f>IFERROR(__xludf.DUMMYFUNCTION("""COMPUTED_VALUE"""),"LAMPU PHILIPS LEDTUBE 18 W")</f>
        <v>LAMPU PHILIPS LEDTUBE 18 W</v>
      </c>
      <c r="B645" s="34">
        <f>IFERROR(__xludf.DUMMYFUNCTION("""COMPUTED_VALUE"""),2.0)</f>
        <v>2</v>
      </c>
      <c r="C645" s="36">
        <f>IFERROR(__xludf.DUMMYFUNCTION("""COMPUTED_VALUE"""),46176.0)</f>
        <v>46176</v>
      </c>
      <c r="D645" s="34" t="str">
        <f>IFERROR(__xludf.DUMMYFUNCTION("""COMPUTED_VALUE"""),"HILAL")</f>
        <v>HILAL</v>
      </c>
    </row>
    <row r="646">
      <c r="A646" s="34" t="str">
        <f>IFERROR(__xludf.DUMMYFUNCTION("""COMPUTED_VALUE"""),"SUSU ")</f>
        <v>SUSU </v>
      </c>
      <c r="B646" s="34">
        <f>IFERROR(__xludf.DUMMYFUNCTION("""COMPUTED_VALUE"""),48.0)</f>
        <v>48</v>
      </c>
      <c r="C646" s="36">
        <f>IFERROR(__xludf.DUMMYFUNCTION("""COMPUTED_VALUE"""),46177.0)</f>
        <v>46177</v>
      </c>
      <c r="D646" s="34" t="str">
        <f>IFERROR(__xludf.DUMMYFUNCTION("""COMPUTED_VALUE"""),"PANTRY")</f>
        <v>PANTRY</v>
      </c>
    </row>
    <row r="647">
      <c r="A647" s="34" t="str">
        <f>IFERROR(__xludf.DUMMYFUNCTION("""COMPUTED_VALUE"""),"TISSUE")</f>
        <v>TISSUE</v>
      </c>
      <c r="B647" s="34">
        <f>IFERROR(__xludf.DUMMYFUNCTION("""COMPUTED_VALUE"""),2.0)</f>
        <v>2</v>
      </c>
      <c r="C647" s="36">
        <f>IFERROR(__xludf.DUMMYFUNCTION("""COMPUTED_VALUE"""),46178.0)</f>
        <v>46178</v>
      </c>
      <c r="D647" s="34" t="str">
        <f>IFERROR(__xludf.DUMMYFUNCTION("""COMPUTED_VALUE"""),"PANTRY")</f>
        <v>PANTRY</v>
      </c>
    </row>
    <row r="648">
      <c r="A648" s="34" t="str">
        <f>IFERROR(__xludf.DUMMYFUNCTION("""COMPUTED_VALUE"""),"SABUN CUCI PIRING ")</f>
        <v>SABUN CUCI PIRING </v>
      </c>
      <c r="B648" s="34">
        <f>IFERROR(__xludf.DUMMYFUNCTION("""COMPUTED_VALUE"""),1.0)</f>
        <v>1</v>
      </c>
      <c r="C648" s="36">
        <f>IFERROR(__xludf.DUMMYFUNCTION("""COMPUTED_VALUE"""),46176.0)</f>
        <v>46176</v>
      </c>
      <c r="D648" s="34" t="str">
        <f>IFERROR(__xludf.DUMMYFUNCTION("""COMPUTED_VALUE"""),"PANTRY")</f>
        <v>PANTRY</v>
      </c>
    </row>
    <row r="649">
      <c r="A649" s="34" t="str">
        <f>IFERROR(__xludf.DUMMYFUNCTION("""COMPUTED_VALUE"""),"BANTEX ")</f>
        <v>BANTEX </v>
      </c>
      <c r="B649" s="34">
        <f>IFERROR(__xludf.DUMMYFUNCTION("""COMPUTED_VALUE"""),6.0)</f>
        <v>6</v>
      </c>
      <c r="C649" s="36">
        <f>IFERROR(__xludf.DUMMYFUNCTION("""COMPUTED_VALUE"""),46176.0)</f>
        <v>46176</v>
      </c>
      <c r="D649" s="34" t="str">
        <f>IFERROR(__xludf.DUMMYFUNCTION("""COMPUTED_VALUE"""),"IENDAH")</f>
        <v>IENDAH</v>
      </c>
    </row>
    <row r="650">
      <c r="A650" s="34" t="str">
        <f>IFERROR(__xludf.DUMMYFUNCTION("""COMPUTED_VALUE"""),"SHEET PROTECTOR ")</f>
        <v>SHEET PROTECTOR </v>
      </c>
      <c r="B650" s="34">
        <f>IFERROR(__xludf.DUMMYFUNCTION("""COMPUTED_VALUE"""),10.0)</f>
        <v>10</v>
      </c>
      <c r="C650" s="36">
        <f>IFERROR(__xludf.DUMMYFUNCTION("""COMPUTED_VALUE"""),46176.0)</f>
        <v>46176</v>
      </c>
      <c r="D650" s="34" t="str">
        <f>IFERROR(__xludf.DUMMYFUNCTION("""COMPUTED_VALUE"""),"IENDAH")</f>
        <v>IENDAH</v>
      </c>
    </row>
    <row r="651">
      <c r="A651" s="34" t="str">
        <f>IFERROR(__xludf.DUMMYFUNCTION("""COMPUTED_VALUE"""),"MASKER")</f>
        <v>MASKER</v>
      </c>
      <c r="B651" s="34">
        <f>IFERROR(__xludf.DUMMYFUNCTION("""COMPUTED_VALUE"""),3.0)</f>
        <v>3</v>
      </c>
      <c r="C651" s="36">
        <f>IFERROR(__xludf.DUMMYFUNCTION("""COMPUTED_VALUE"""),46176.0)</f>
        <v>46176</v>
      </c>
      <c r="D651" s="34" t="str">
        <f>IFERROR(__xludf.DUMMYFUNCTION("""COMPUTED_VALUE"""),"IENDAH")</f>
        <v>IENDAH</v>
      </c>
    </row>
    <row r="652">
      <c r="A652" s="34" t="str">
        <f>IFERROR(__xludf.DUMMYFUNCTION("""COMPUTED_VALUE"""),"SUSU ")</f>
        <v>SUSU </v>
      </c>
      <c r="B652" s="34">
        <f>IFERROR(__xludf.DUMMYFUNCTION("""COMPUTED_VALUE"""),192.0)</f>
        <v>192</v>
      </c>
      <c r="C652" s="36">
        <f>IFERROR(__xludf.DUMMYFUNCTION("""COMPUTED_VALUE"""),46177.0)</f>
        <v>46177</v>
      </c>
      <c r="D652" s="34" t="str">
        <f>IFERROR(__xludf.DUMMYFUNCTION("""COMPUTED_VALUE"""),"PANTRY")</f>
        <v>PANTRY</v>
      </c>
    </row>
    <row r="653">
      <c r="A653" s="34" t="str">
        <f>IFERROR(__xludf.DUMMYFUNCTION("""COMPUTED_VALUE"""),"FLOOR DRAIN")</f>
        <v>FLOOR DRAIN</v>
      </c>
      <c r="B653" s="34">
        <f>IFERROR(__xludf.DUMMYFUNCTION("""COMPUTED_VALUE"""),1.0)</f>
        <v>1</v>
      </c>
      <c r="C653" s="36">
        <f>IFERROR(__xludf.DUMMYFUNCTION("""COMPUTED_VALUE"""),46177.0)</f>
        <v>46177</v>
      </c>
      <c r="D653" s="34" t="str">
        <f>IFERROR(__xludf.DUMMYFUNCTION("""COMPUTED_VALUE"""),"MUH")</f>
        <v>MUH</v>
      </c>
    </row>
    <row r="654">
      <c r="A654" s="34" t="str">
        <f>IFERROR(__xludf.DUMMYFUNCTION("""COMPUTED_VALUE"""),"MASKER")</f>
        <v>MASKER</v>
      </c>
      <c r="B654" s="34">
        <f>IFERROR(__xludf.DUMMYFUNCTION("""COMPUTED_VALUE"""),3.0)</f>
        <v>3</v>
      </c>
      <c r="C654" s="36">
        <f>IFERROR(__xludf.DUMMYFUNCTION("""COMPUTED_VALUE"""),46177.0)</f>
        <v>46177</v>
      </c>
      <c r="D654" s="34" t="str">
        <f>IFERROR(__xludf.DUMMYFUNCTION("""COMPUTED_VALUE"""),"ILYAS")</f>
        <v>ILYAS</v>
      </c>
    </row>
    <row r="655">
      <c r="A655" s="34" t="str">
        <f>IFERROR(__xludf.DUMMYFUNCTION("""COMPUTED_VALUE"""),"LATEX SARUNG TANGAN ")</f>
        <v>LATEX SARUNG TANGAN </v>
      </c>
      <c r="B655" s="34">
        <f>IFERROR(__xludf.DUMMYFUNCTION("""COMPUTED_VALUE"""),2.0)</f>
        <v>2</v>
      </c>
      <c r="C655" s="36">
        <f>IFERROR(__xludf.DUMMYFUNCTION("""COMPUTED_VALUE"""),46177.0)</f>
        <v>46177</v>
      </c>
      <c r="D655" s="34" t="str">
        <f>IFERROR(__xludf.DUMMYFUNCTION("""COMPUTED_VALUE"""),"ILYAS")</f>
        <v>ILYAS</v>
      </c>
    </row>
    <row r="656">
      <c r="A656" s="34" t="str">
        <f>IFERROR(__xludf.DUMMYFUNCTION("""COMPUTED_VALUE"""),"DELI PENA MEJA PULPEN PEN SMILE DESK PEN STAND 0.7MM - HITAM")</f>
        <v>DELI PENA MEJA PULPEN PEN SMILE DESK PEN STAND 0.7MM - HITAM</v>
      </c>
      <c r="B656" s="34">
        <f>IFERROR(__xludf.DUMMYFUNCTION("""COMPUTED_VALUE"""),1.0)</f>
        <v>1</v>
      </c>
      <c r="C656" s="36">
        <f>IFERROR(__xludf.DUMMYFUNCTION("""COMPUTED_VALUE"""),46177.0)</f>
        <v>46177</v>
      </c>
      <c r="D656" s="34" t="str">
        <f>IFERROR(__xludf.DUMMYFUNCTION("""COMPUTED_VALUE"""),"PRODUKSI")</f>
        <v>PRODUKSI</v>
      </c>
    </row>
    <row r="657">
      <c r="A657" s="34" t="str">
        <f>IFERROR(__xludf.DUMMYFUNCTION("""COMPUTED_VALUE"""),"ISI STAPLES KECIL")</f>
        <v>ISI STAPLES KECIL</v>
      </c>
      <c r="B657" s="34">
        <f>IFERROR(__xludf.DUMMYFUNCTION("""COMPUTED_VALUE"""),7.0)</f>
        <v>7</v>
      </c>
      <c r="C657" s="36">
        <f>IFERROR(__xludf.DUMMYFUNCTION("""COMPUTED_VALUE"""),46177.0)</f>
        <v>46177</v>
      </c>
      <c r="D657" s="34" t="str">
        <f>IFERROR(__xludf.DUMMYFUNCTION("""COMPUTED_VALUE"""),"PRODUKSI")</f>
        <v>PRODUKSI</v>
      </c>
    </row>
    <row r="658">
      <c r="A658" s="34" t="str">
        <f>IFERROR(__xludf.DUMMYFUNCTION("""COMPUTED_VALUE"""),"TINTA PRINTER L3201 HITAM")</f>
        <v>TINTA PRINTER L3201 HITAM</v>
      </c>
      <c r="B658" s="34">
        <f>IFERROR(__xludf.DUMMYFUNCTION("""COMPUTED_VALUE"""),1.0)</f>
        <v>1</v>
      </c>
      <c r="C658" s="36">
        <f>IFERROR(__xludf.DUMMYFUNCTION("""COMPUTED_VALUE"""),46177.0)</f>
        <v>46177</v>
      </c>
      <c r="D658" s="34" t="str">
        <f>IFERROR(__xludf.DUMMYFUNCTION("""COMPUTED_VALUE"""),"PRODUKSI")</f>
        <v>PRODUKSI</v>
      </c>
    </row>
    <row r="659">
      <c r="A659" s="34" t="str">
        <f>IFERROR(__xludf.DUMMYFUNCTION("""COMPUTED_VALUE"""),"GUNTING")</f>
        <v>GUNTING</v>
      </c>
      <c r="B659" s="34">
        <f>IFERROR(__xludf.DUMMYFUNCTION("""COMPUTED_VALUE"""),1.0)</f>
        <v>1</v>
      </c>
      <c r="C659" s="36">
        <f>IFERROR(__xludf.DUMMYFUNCTION("""COMPUTED_VALUE"""),46177.0)</f>
        <v>46177</v>
      </c>
      <c r="D659" s="34" t="str">
        <f>IFERROR(__xludf.DUMMYFUNCTION("""COMPUTED_VALUE"""),"PRODUKSI")</f>
        <v>PRODUKSI</v>
      </c>
    </row>
    <row r="660">
      <c r="A660" s="34" t="str">
        <f>IFERROR(__xludf.DUMMYFUNCTION("""COMPUTED_VALUE"""),"MASKER")</f>
        <v>MASKER</v>
      </c>
      <c r="B660" s="34">
        <f>IFERROR(__xludf.DUMMYFUNCTION("""COMPUTED_VALUE"""),2.0)</f>
        <v>2</v>
      </c>
      <c r="C660" s="36">
        <f>IFERROR(__xludf.DUMMYFUNCTION("""COMPUTED_VALUE"""),46178.0)</f>
        <v>46178</v>
      </c>
      <c r="D660" s="34" t="str">
        <f>IFERROR(__xludf.DUMMYFUNCTION("""COMPUTED_VALUE"""),"ANISA")</f>
        <v>ANISA</v>
      </c>
    </row>
    <row r="661">
      <c r="A661" s="34" t="str">
        <f>IFERROR(__xludf.DUMMYFUNCTION("""COMPUTED_VALUE"""),"TISSUE")</f>
        <v>TISSUE</v>
      </c>
      <c r="B661" s="34">
        <f>IFERROR(__xludf.DUMMYFUNCTION("""COMPUTED_VALUE"""),1.0)</f>
        <v>1</v>
      </c>
      <c r="C661" s="36">
        <f>IFERROR(__xludf.DUMMYFUNCTION("""COMPUTED_VALUE"""),46178.0)</f>
        <v>46178</v>
      </c>
      <c r="D661" s="34" t="str">
        <f>IFERROR(__xludf.DUMMYFUNCTION("""COMPUTED_VALUE"""),"ANISA")</f>
        <v>ANISA</v>
      </c>
    </row>
    <row r="662">
      <c r="A662" s="34" t="str">
        <f>IFERROR(__xludf.DUMMYFUNCTION("""COMPUTED_VALUE"""),"LATEX SARUNG TANGAN ")</f>
        <v>LATEX SARUNG TANGAN </v>
      </c>
      <c r="B662" s="34">
        <f>IFERROR(__xludf.DUMMYFUNCTION("""COMPUTED_VALUE"""),1.0)</f>
        <v>1</v>
      </c>
      <c r="C662" s="36">
        <f>IFERROR(__xludf.DUMMYFUNCTION("""COMPUTED_VALUE"""),46178.0)</f>
        <v>46178</v>
      </c>
      <c r="D662" s="34" t="str">
        <f>IFERROR(__xludf.DUMMYFUNCTION("""COMPUTED_VALUE"""),"ANISA")</f>
        <v>ANISA</v>
      </c>
    </row>
    <row r="663">
      <c r="A663" s="34" t="str">
        <f>IFERROR(__xludf.DUMMYFUNCTION("""COMPUTED_VALUE"""),"BANTEX ")</f>
        <v>BANTEX </v>
      </c>
      <c r="B663" s="34">
        <f>IFERROR(__xludf.DUMMYFUNCTION("""COMPUTED_VALUE"""),2.0)</f>
        <v>2</v>
      </c>
      <c r="C663" s="36">
        <f>IFERROR(__xludf.DUMMYFUNCTION("""COMPUTED_VALUE"""),46178.0)</f>
        <v>46178</v>
      </c>
      <c r="D663" s="34" t="str">
        <f>IFERROR(__xludf.DUMMYFUNCTION("""COMPUTED_VALUE"""),"ANISA")</f>
        <v>ANISA</v>
      </c>
    </row>
    <row r="664">
      <c r="A664" s="34" t="str">
        <f>IFERROR(__xludf.DUMMYFUNCTION("""COMPUTED_VALUE"""),"AIR MINERAL")</f>
        <v>AIR MINERAL</v>
      </c>
      <c r="B664" s="34">
        <f>IFERROR(__xludf.DUMMYFUNCTION("""COMPUTED_VALUE"""),48.0)</f>
        <v>48</v>
      </c>
      <c r="C664" s="36">
        <f>IFERROR(__xludf.DUMMYFUNCTION("""COMPUTED_VALUE"""),46178.0)</f>
        <v>46178</v>
      </c>
      <c r="D664" s="34" t="str">
        <f>IFERROR(__xludf.DUMMYFUNCTION("""COMPUTED_VALUE"""),"ERWIN")</f>
        <v>ERWIN</v>
      </c>
    </row>
    <row r="665">
      <c r="A665" s="34" t="str">
        <f>IFERROR(__xludf.DUMMYFUNCTION("""COMPUTED_VALUE"""),"MINYAK KAYU PUTIH")</f>
        <v>MINYAK KAYU PUTIH</v>
      </c>
      <c r="B665" s="34">
        <f>IFERROR(__xludf.DUMMYFUNCTION("""COMPUTED_VALUE"""),1.0)</f>
        <v>1</v>
      </c>
      <c r="C665" s="36">
        <f>IFERROR(__xludf.DUMMYFUNCTION("""COMPUTED_VALUE"""),46178.0)</f>
        <v>46178</v>
      </c>
      <c r="D665" s="34" t="str">
        <f>IFERROR(__xludf.DUMMYFUNCTION("""COMPUTED_VALUE"""),"IENDAH")</f>
        <v>IENDAH</v>
      </c>
    </row>
    <row r="666">
      <c r="A666" s="34" t="str">
        <f>IFERROR(__xludf.DUMMYFUNCTION("""COMPUTED_VALUE"""),"TISSUE")</f>
        <v>TISSUE</v>
      </c>
      <c r="B666" s="34">
        <f>IFERROR(__xludf.DUMMYFUNCTION("""COMPUTED_VALUE"""),2.0)</f>
        <v>2</v>
      </c>
      <c r="C666" s="36">
        <f>IFERROR(__xludf.DUMMYFUNCTION("""COMPUTED_VALUE"""),46178.0)</f>
        <v>46178</v>
      </c>
      <c r="D666" s="34" t="str">
        <f>IFERROR(__xludf.DUMMYFUNCTION("""COMPUTED_VALUE"""),"AMANIAH")</f>
        <v>AMANIAH</v>
      </c>
    </row>
    <row r="667">
      <c r="A667" s="34" t="str">
        <f>IFERROR(__xludf.DUMMYFUNCTION("""COMPUTED_VALUE"""),"AIR MINERAL")</f>
        <v>AIR MINERAL</v>
      </c>
      <c r="B667" s="34">
        <f>IFERROR(__xludf.DUMMYFUNCTION("""COMPUTED_VALUE"""),24.0)</f>
        <v>24</v>
      </c>
      <c r="C667" s="36">
        <f>IFERROR(__xludf.DUMMYFUNCTION("""COMPUTED_VALUE"""),46178.0)</f>
        <v>46178</v>
      </c>
      <c r="D667" s="34" t="str">
        <f>IFERROR(__xludf.DUMMYFUNCTION("""COMPUTED_VALUE"""),"PANTRY")</f>
        <v>PANTRY</v>
      </c>
    </row>
    <row r="668">
      <c r="A668" s="34" t="str">
        <f>IFERROR(__xludf.DUMMYFUNCTION("""COMPUTED_VALUE"""),"TEH BOTOL")</f>
        <v>TEH BOTOL</v>
      </c>
      <c r="B668" s="34">
        <f>IFERROR(__xludf.DUMMYFUNCTION("""COMPUTED_VALUE"""),24.0)</f>
        <v>24</v>
      </c>
      <c r="C668" s="36">
        <f>IFERROR(__xludf.DUMMYFUNCTION("""COMPUTED_VALUE"""),46178.0)</f>
        <v>46178</v>
      </c>
      <c r="D668" s="34" t="str">
        <f>IFERROR(__xludf.DUMMYFUNCTION("""COMPUTED_VALUE"""),"PANTRY")</f>
        <v>PANTRY</v>
      </c>
    </row>
    <row r="669">
      <c r="A669" s="34" t="str">
        <f>IFERROR(__xludf.DUMMYFUNCTION("""COMPUTED_VALUE"""),"MASKER")</f>
        <v>MASKER</v>
      </c>
      <c r="B669" s="34">
        <f>IFERROR(__xludf.DUMMYFUNCTION("""COMPUTED_VALUE"""),1.0)</f>
        <v>1</v>
      </c>
      <c r="C669" s="36">
        <f>IFERROR(__xludf.DUMMYFUNCTION("""COMPUTED_VALUE"""),46178.0)</f>
        <v>46178</v>
      </c>
      <c r="D669" s="34" t="str">
        <f>IFERROR(__xludf.DUMMYFUNCTION("""COMPUTED_VALUE"""),"ILYAS")</f>
        <v>ILYAS</v>
      </c>
    </row>
    <row r="670">
      <c r="A670" s="34" t="str">
        <f>IFERROR(__xludf.DUMMYFUNCTION("""COMPUTED_VALUE"""),"TISSUE")</f>
        <v>TISSUE</v>
      </c>
      <c r="B670" s="34">
        <f>IFERROR(__xludf.DUMMYFUNCTION("""COMPUTED_VALUE"""),1.0)</f>
        <v>1</v>
      </c>
      <c r="C670" s="36">
        <f>IFERROR(__xludf.DUMMYFUNCTION("""COMPUTED_VALUE"""),46178.0)</f>
        <v>46178</v>
      </c>
      <c r="D670" s="34" t="str">
        <f>IFERROR(__xludf.DUMMYFUNCTION("""COMPUTED_VALUE"""),"ILYAS")</f>
        <v>ILYAS</v>
      </c>
    </row>
    <row r="671">
      <c r="A671" s="34" t="str">
        <f>IFERROR(__xludf.DUMMYFUNCTION("""COMPUTED_VALUE"""),"LATEX SARUNG TANGAN ")</f>
        <v>LATEX SARUNG TANGAN </v>
      </c>
      <c r="B671" s="34">
        <f>IFERROR(__xludf.DUMMYFUNCTION("""COMPUTED_VALUE"""),1.0)</f>
        <v>1</v>
      </c>
      <c r="C671" s="36">
        <f>IFERROR(__xludf.DUMMYFUNCTION("""COMPUTED_VALUE"""),46178.0)</f>
        <v>46178</v>
      </c>
      <c r="D671" s="34" t="str">
        <f>IFERROR(__xludf.DUMMYFUNCTION("""COMPUTED_VALUE"""),"ILYAS")</f>
        <v>ILYAS</v>
      </c>
    </row>
    <row r="672">
      <c r="A672" s="34" t="str">
        <f>IFERROR(__xludf.DUMMYFUNCTION("""COMPUTED_VALUE"""),"GANTUNGAN SAPU 5 SLOT")</f>
        <v>GANTUNGAN SAPU 5 SLOT</v>
      </c>
      <c r="B672" s="34">
        <f>IFERROR(__xludf.DUMMYFUNCTION("""COMPUTED_VALUE"""),1.0)</f>
        <v>1</v>
      </c>
      <c r="C672" s="36">
        <f>IFERROR(__xludf.DUMMYFUNCTION("""COMPUTED_VALUE"""),46178.0)</f>
        <v>46178</v>
      </c>
      <c r="D672" s="34" t="str">
        <f>IFERROR(__xludf.DUMMYFUNCTION("""COMPUTED_VALUE"""),"GA HERIYANTO")</f>
        <v>GA HERIYANTO</v>
      </c>
    </row>
    <row r="673">
      <c r="A673" s="34" t="str">
        <f>IFERROR(__xludf.DUMMYFUNCTION("""COMPUTED_VALUE"""),"MASKER")</f>
        <v>MASKER</v>
      </c>
      <c r="B673" s="34">
        <f>IFERROR(__xludf.DUMMYFUNCTION("""COMPUTED_VALUE"""),2.0)</f>
        <v>2</v>
      </c>
      <c r="C673" s="36">
        <f>IFERROR(__xludf.DUMMYFUNCTION("""COMPUTED_VALUE"""),46178.0)</f>
        <v>46178</v>
      </c>
      <c r="D673" s="34" t="str">
        <f>IFERROR(__xludf.DUMMYFUNCTION("""COMPUTED_VALUE"""),"BAGAS")</f>
        <v>BAGAS</v>
      </c>
    </row>
    <row r="674">
      <c r="A674" s="34" t="str">
        <f>IFERROR(__xludf.DUMMYFUNCTION("""COMPUTED_VALUE"""),"LATEX SARUNG TANGAN ")</f>
        <v>LATEX SARUNG TANGAN </v>
      </c>
      <c r="B674" s="34">
        <f>IFERROR(__xludf.DUMMYFUNCTION("""COMPUTED_VALUE"""),2.0)</f>
        <v>2</v>
      </c>
      <c r="C674" s="36">
        <f>IFERROR(__xludf.DUMMYFUNCTION("""COMPUTED_VALUE"""),46178.0)</f>
        <v>46178</v>
      </c>
      <c r="D674" s="34" t="str">
        <f>IFERROR(__xludf.DUMMYFUNCTION("""COMPUTED_VALUE"""),"BAGAS")</f>
        <v>BAGAS</v>
      </c>
    </row>
    <row r="675">
      <c r="A675" s="34" t="str">
        <f>IFERROR(__xludf.DUMMYFUNCTION("""COMPUTED_VALUE"""),"MASKER")</f>
        <v>MASKER</v>
      </c>
      <c r="B675" s="34">
        <f>IFERROR(__xludf.DUMMYFUNCTION("""COMPUTED_VALUE"""),2.0)</f>
        <v>2</v>
      </c>
      <c r="C675" s="36">
        <f>IFERROR(__xludf.DUMMYFUNCTION("""COMPUTED_VALUE"""),46179.0)</f>
        <v>46179</v>
      </c>
      <c r="D675" s="34" t="str">
        <f>IFERROR(__xludf.DUMMYFUNCTION("""COMPUTED_VALUE"""),"ILYAS")</f>
        <v>ILYAS</v>
      </c>
    </row>
    <row r="676">
      <c r="A676" s="34" t="str">
        <f>IFERROR(__xludf.DUMMYFUNCTION("""COMPUTED_VALUE"""),"LATEX SARUNG TANGAN ")</f>
        <v>LATEX SARUNG TANGAN </v>
      </c>
      <c r="B676" s="34">
        <f>IFERROR(__xludf.DUMMYFUNCTION("""COMPUTED_VALUE"""),2.0)</f>
        <v>2</v>
      </c>
      <c r="C676" s="36">
        <f>IFERROR(__xludf.DUMMYFUNCTION("""COMPUTED_VALUE"""),46179.0)</f>
        <v>46179</v>
      </c>
      <c r="D676" s="34" t="str">
        <f>IFERROR(__xludf.DUMMYFUNCTION("""COMPUTED_VALUE"""),"ILYAS")</f>
        <v>ILYAS</v>
      </c>
    </row>
    <row r="677">
      <c r="A677" s="34" t="str">
        <f>IFERROR(__xludf.DUMMYFUNCTION("""COMPUTED_VALUE"""),"GLADE ")</f>
        <v>GLADE </v>
      </c>
      <c r="B677" s="34">
        <f>IFERROR(__xludf.DUMMYFUNCTION("""COMPUTED_VALUE"""),1.0)</f>
        <v>1</v>
      </c>
      <c r="C677" s="36">
        <f>IFERROR(__xludf.DUMMYFUNCTION("""COMPUTED_VALUE"""),46179.0)</f>
        <v>46179</v>
      </c>
      <c r="D677" s="34" t="str">
        <f>IFERROR(__xludf.DUMMYFUNCTION("""COMPUTED_VALUE"""),"GA")</f>
        <v>GA</v>
      </c>
    </row>
    <row r="678">
      <c r="A678" s="34" t="str">
        <f>IFERROR(__xludf.DUMMYFUNCTION("""COMPUTED_VALUE"""),"KUAS UKURAN 3 INC")</f>
        <v>KUAS UKURAN 3 INC</v>
      </c>
      <c r="B678" s="34">
        <f>IFERROR(__xludf.DUMMYFUNCTION("""COMPUTED_VALUE"""),2.0)</f>
        <v>2</v>
      </c>
      <c r="C678" s="36">
        <f>IFERROR(__xludf.DUMMYFUNCTION("""COMPUTED_VALUE"""),46179.0)</f>
        <v>46179</v>
      </c>
      <c r="D678" s="34" t="str">
        <f>IFERROR(__xludf.DUMMYFUNCTION("""COMPUTED_VALUE"""),"PRODUKSI")</f>
        <v>PRODUKSI</v>
      </c>
    </row>
    <row r="679">
      <c r="A679" s="34" t="str">
        <f>IFERROR(__xludf.DUMMYFUNCTION("""COMPUTED_VALUE"""),"TISSUE")</f>
        <v>TISSUE</v>
      </c>
      <c r="B679" s="34">
        <f>IFERROR(__xludf.DUMMYFUNCTION("""COMPUTED_VALUE"""),1.0)</f>
        <v>1</v>
      </c>
      <c r="C679" s="36">
        <f>IFERROR(__xludf.DUMMYFUNCTION("""COMPUTED_VALUE"""),46179.0)</f>
        <v>46179</v>
      </c>
      <c r="D679" s="34" t="str">
        <f>IFERROR(__xludf.DUMMYFUNCTION("""COMPUTED_VALUE"""),"GA")</f>
        <v>GA</v>
      </c>
    </row>
    <row r="680">
      <c r="A680" s="34" t="str">
        <f>IFERROR(__xludf.DUMMYFUNCTION("""COMPUTED_VALUE"""),"PEL - PELAN")</f>
        <v>PEL - PELAN</v>
      </c>
      <c r="B680" s="34">
        <f>IFERROR(__xludf.DUMMYFUNCTION("""COMPUTED_VALUE"""),1.0)</f>
        <v>1</v>
      </c>
      <c r="C680" s="36">
        <f>IFERROR(__xludf.DUMMYFUNCTION("""COMPUTED_VALUE"""),46179.0)</f>
        <v>46179</v>
      </c>
      <c r="D680" s="34" t="str">
        <f>IFERROR(__xludf.DUMMYFUNCTION("""COMPUTED_VALUE"""),"GA")</f>
        <v>GA</v>
      </c>
    </row>
    <row r="681">
      <c r="A681" s="34" t="str">
        <f>IFERROR(__xludf.DUMMYFUNCTION("""COMPUTED_VALUE"""),"SABUN CUCI PIRING ")</f>
        <v>SABUN CUCI PIRING </v>
      </c>
      <c r="B681" s="34">
        <f>IFERROR(__xludf.DUMMYFUNCTION("""COMPUTED_VALUE"""),1.0)</f>
        <v>1</v>
      </c>
      <c r="C681" s="36">
        <f>IFERROR(__xludf.DUMMYFUNCTION("""COMPUTED_VALUE"""),46179.0)</f>
        <v>46179</v>
      </c>
      <c r="D681" s="34" t="str">
        <f>IFERROR(__xludf.DUMMYFUNCTION("""COMPUTED_VALUE"""),"GA")</f>
        <v>GA</v>
      </c>
    </row>
    <row r="682">
      <c r="A682" s="34" t="str">
        <f>IFERROR(__xludf.DUMMYFUNCTION("""COMPUTED_VALUE"""),"SABUN LANTAI ")</f>
        <v>SABUN LANTAI </v>
      </c>
      <c r="B682" s="34">
        <f>IFERROR(__xludf.DUMMYFUNCTION("""COMPUTED_VALUE"""),1.0)</f>
        <v>1</v>
      </c>
      <c r="C682" s="36">
        <f>IFERROR(__xludf.DUMMYFUNCTION("""COMPUTED_VALUE"""),46179.0)</f>
        <v>46179</v>
      </c>
      <c r="D682" s="34" t="str">
        <f>IFERROR(__xludf.DUMMYFUNCTION("""COMPUTED_VALUE"""),"GA")</f>
        <v>GA</v>
      </c>
    </row>
    <row r="683">
      <c r="A683" s="34" t="str">
        <f>IFERROR(__xludf.DUMMYFUNCTION("""COMPUTED_VALUE"""),"SABUN CUCI TANGAN")</f>
        <v>SABUN CUCI TANGAN</v>
      </c>
      <c r="B683" s="34">
        <f>IFERROR(__xludf.DUMMYFUNCTION("""COMPUTED_VALUE"""),1.0)</f>
        <v>1</v>
      </c>
      <c r="C683" s="36">
        <f>IFERROR(__xludf.DUMMYFUNCTION("""COMPUTED_VALUE"""),46179.0)</f>
        <v>46179</v>
      </c>
      <c r="D683" s="34" t="str">
        <f>IFERROR(__xludf.DUMMYFUNCTION("""COMPUTED_VALUE"""),"GA")</f>
        <v>GA</v>
      </c>
    </row>
    <row r="684">
      <c r="A684" s="34" t="str">
        <f>IFERROR(__xludf.DUMMYFUNCTION("""COMPUTED_VALUE"""),"HAIRNET KAIN")</f>
        <v>HAIRNET KAIN</v>
      </c>
      <c r="B684" s="34">
        <f>IFERROR(__xludf.DUMMYFUNCTION("""COMPUTED_VALUE"""),2.0)</f>
        <v>2</v>
      </c>
      <c r="C684" s="36">
        <f>IFERROR(__xludf.DUMMYFUNCTION("""COMPUTED_VALUE"""),46179.0)</f>
        <v>46179</v>
      </c>
      <c r="D684" s="34" t="str">
        <f>IFERROR(__xludf.DUMMYFUNCTION("""COMPUTED_VALUE"""),"GA")</f>
        <v>GA</v>
      </c>
    </row>
    <row r="685">
      <c r="A685" s="34" t="str">
        <f>IFERROR(__xludf.DUMMYFUNCTION("""COMPUTED_VALUE"""),"PULPEN HITAM")</f>
        <v>PULPEN HITAM</v>
      </c>
      <c r="B685" s="34">
        <f>IFERROR(__xludf.DUMMYFUNCTION("""COMPUTED_VALUE"""),3.0)</f>
        <v>3</v>
      </c>
      <c r="C685" s="36">
        <f>IFERROR(__xludf.DUMMYFUNCTION("""COMPUTED_VALUE"""),46179.0)</f>
        <v>46179</v>
      </c>
      <c r="D685" s="34" t="str">
        <f>IFERROR(__xludf.DUMMYFUNCTION("""COMPUTED_VALUE"""),"AINI")</f>
        <v>AINI</v>
      </c>
    </row>
    <row r="686">
      <c r="A686" s="34" t="str">
        <f>IFERROR(__xludf.DUMMYFUNCTION("""COMPUTED_VALUE"""),"ISI STAPLES KECIL")</f>
        <v>ISI STAPLES KECIL</v>
      </c>
      <c r="B686" s="34">
        <f>IFERROR(__xludf.DUMMYFUNCTION("""COMPUTED_VALUE"""),1.0)</f>
        <v>1</v>
      </c>
      <c r="C686" s="36">
        <f>IFERROR(__xludf.DUMMYFUNCTION("""COMPUTED_VALUE"""),46179.0)</f>
        <v>46179</v>
      </c>
      <c r="D686" s="34" t="str">
        <f>IFERROR(__xludf.DUMMYFUNCTION("""COMPUTED_VALUE"""),"AINI")</f>
        <v>AINI</v>
      </c>
    </row>
    <row r="687">
      <c r="A687" s="34" t="str">
        <f>IFERROR(__xludf.DUMMYFUNCTION("""COMPUTED_VALUE"""),"DETERJEN CAIR")</f>
        <v>DETERJEN CAIR</v>
      </c>
      <c r="B687" s="34">
        <f>IFERROR(__xludf.DUMMYFUNCTION("""COMPUTED_VALUE"""),1.0)</f>
        <v>1</v>
      </c>
      <c r="C687" s="36">
        <f>IFERROR(__xludf.DUMMYFUNCTION("""COMPUTED_VALUE"""),46180.0)</f>
        <v>46180</v>
      </c>
      <c r="D687" s="34" t="str">
        <f>IFERROR(__xludf.DUMMYFUNCTION("""COMPUTED_VALUE"""),"GA")</f>
        <v>GA</v>
      </c>
    </row>
    <row r="688">
      <c r="A688" s="34" t="str">
        <f>IFERROR(__xludf.DUMMYFUNCTION("""COMPUTED_VALUE"""),"DETERJEN PEWANGI PAKAIAN")</f>
        <v>DETERJEN PEWANGI PAKAIAN</v>
      </c>
      <c r="B688" s="34">
        <f>IFERROR(__xludf.DUMMYFUNCTION("""COMPUTED_VALUE"""),1.0)</f>
        <v>1</v>
      </c>
      <c r="C688" s="36">
        <f>IFERROR(__xludf.DUMMYFUNCTION("""COMPUTED_VALUE"""),46180.0)</f>
        <v>46180</v>
      </c>
      <c r="D688" s="34" t="str">
        <f>IFERROR(__xludf.DUMMYFUNCTION("""COMPUTED_VALUE"""),"GA")</f>
        <v>GA</v>
      </c>
    </row>
    <row r="689">
      <c r="A689" s="34" t="str">
        <f>IFERROR(__xludf.DUMMYFUNCTION("""COMPUTED_VALUE"""),"MASKER")</f>
        <v>MASKER</v>
      </c>
      <c r="B689" s="34">
        <f>IFERROR(__xludf.DUMMYFUNCTION("""COMPUTED_VALUE"""),1.0)</f>
        <v>1</v>
      </c>
      <c r="C689" s="36">
        <f>IFERROR(__xludf.DUMMYFUNCTION("""COMPUTED_VALUE"""),46181.0)</f>
        <v>46181</v>
      </c>
      <c r="D689" s="34" t="str">
        <f>IFERROR(__xludf.DUMMYFUNCTION("""COMPUTED_VALUE"""),"BAGAS")</f>
        <v>BAGAS</v>
      </c>
    </row>
    <row r="690">
      <c r="A690" s="34" t="str">
        <f>IFERROR(__xludf.DUMMYFUNCTION("""COMPUTED_VALUE"""),"AIR MINERAL")</f>
        <v>AIR MINERAL</v>
      </c>
      <c r="B690" s="34">
        <f>IFERROR(__xludf.DUMMYFUNCTION("""COMPUTED_VALUE"""),24.0)</f>
        <v>24</v>
      </c>
      <c r="C690" s="36">
        <f>IFERROR(__xludf.DUMMYFUNCTION("""COMPUTED_VALUE"""),46181.0)</f>
        <v>46181</v>
      </c>
      <c r="D690" s="34" t="str">
        <f>IFERROR(__xludf.DUMMYFUNCTION("""COMPUTED_VALUE"""),"FAREL")</f>
        <v>FAREL</v>
      </c>
    </row>
    <row r="691">
      <c r="A691" s="34" t="str">
        <f>IFERROR(__xludf.DUMMYFUNCTION("""COMPUTED_VALUE"""),"AIR MINERAL")</f>
        <v>AIR MINERAL</v>
      </c>
      <c r="B691" s="34">
        <f>IFERROR(__xludf.DUMMYFUNCTION("""COMPUTED_VALUE"""),24.0)</f>
        <v>24</v>
      </c>
      <c r="C691" s="36">
        <f>IFERROR(__xludf.DUMMYFUNCTION("""COMPUTED_VALUE"""),46181.0)</f>
        <v>46181</v>
      </c>
      <c r="D691" s="34" t="str">
        <f>IFERROR(__xludf.DUMMYFUNCTION("""COMPUTED_VALUE"""),"PANTRY")</f>
        <v>PANTRY</v>
      </c>
    </row>
    <row r="692">
      <c r="A692" s="34" t="str">
        <f>IFERROR(__xludf.DUMMYFUNCTION("""COMPUTED_VALUE"""),"TISSUE")</f>
        <v>TISSUE</v>
      </c>
      <c r="B692" s="34">
        <f>IFERROR(__xludf.DUMMYFUNCTION("""COMPUTED_VALUE"""),1.0)</f>
        <v>1</v>
      </c>
      <c r="C692" s="36">
        <f>IFERROR(__xludf.DUMMYFUNCTION("""COMPUTED_VALUE"""),46181.0)</f>
        <v>46181</v>
      </c>
      <c r="D692" s="34" t="str">
        <f>IFERROR(__xludf.DUMMYFUNCTION("""COMPUTED_VALUE"""),"PANTRY")</f>
        <v>PANTRY</v>
      </c>
    </row>
    <row r="693">
      <c r="A693" s="34" t="str">
        <f>IFERROR(__xludf.DUMMYFUNCTION("""COMPUTED_VALUE"""),"SUSU ")</f>
        <v>SUSU </v>
      </c>
      <c r="B693" s="34">
        <f>IFERROR(__xludf.DUMMYFUNCTION("""COMPUTED_VALUE"""),48.0)</f>
        <v>48</v>
      </c>
      <c r="C693" s="36">
        <f>IFERROR(__xludf.DUMMYFUNCTION("""COMPUTED_VALUE"""),46181.0)</f>
        <v>46181</v>
      </c>
      <c r="D693" s="34" t="str">
        <f>IFERROR(__xludf.DUMMYFUNCTION("""COMPUTED_VALUE"""),"PANTRY")</f>
        <v>PANTRY</v>
      </c>
    </row>
    <row r="694">
      <c r="A694" s="34" t="str">
        <f>IFERROR(__xludf.DUMMYFUNCTION("""COMPUTED_VALUE"""),"SHUNTON P10 80GR - KAMPER ")</f>
        <v>SHUNTON P10 80GR - KAMPER </v>
      </c>
      <c r="B694" s="34">
        <f>IFERROR(__xludf.DUMMYFUNCTION("""COMPUTED_VALUE"""),2.0)</f>
        <v>2</v>
      </c>
      <c r="C694" s="36">
        <f>IFERROR(__xludf.DUMMYFUNCTION("""COMPUTED_VALUE"""),46181.0)</f>
        <v>46181</v>
      </c>
      <c r="D694" s="34" t="str">
        <f>IFERROR(__xludf.DUMMYFUNCTION("""COMPUTED_VALUE"""),"PANTRY")</f>
        <v>PANTRY</v>
      </c>
    </row>
    <row r="695">
      <c r="A695" s="34" t="str">
        <f>IFERROR(__xludf.DUMMYFUNCTION("""COMPUTED_VALUE"""),"MASKER")</f>
        <v>MASKER</v>
      </c>
      <c r="B695" s="34">
        <f>IFERROR(__xludf.DUMMYFUNCTION("""COMPUTED_VALUE"""),2.0)</f>
        <v>2</v>
      </c>
      <c r="C695" s="36">
        <f>IFERROR(__xludf.DUMMYFUNCTION("""COMPUTED_VALUE"""),46181.0)</f>
        <v>46181</v>
      </c>
      <c r="D695" s="34" t="str">
        <f>IFERROR(__xludf.DUMMYFUNCTION("""COMPUTED_VALUE"""),"FITA")</f>
        <v>FITA</v>
      </c>
    </row>
    <row r="696">
      <c r="A696" s="34" t="str">
        <f>IFERROR(__xludf.DUMMYFUNCTION("""COMPUTED_VALUE"""),"SALONPAS")</f>
        <v>SALONPAS</v>
      </c>
      <c r="B696" s="34">
        <f>IFERROR(__xludf.DUMMYFUNCTION("""COMPUTED_VALUE"""),1.0)</f>
        <v>1</v>
      </c>
      <c r="C696" s="36">
        <f>IFERROR(__xludf.DUMMYFUNCTION("""COMPUTED_VALUE"""),46181.0)</f>
        <v>46181</v>
      </c>
      <c r="D696" s="34" t="str">
        <f>IFERROR(__xludf.DUMMYFUNCTION("""COMPUTED_VALUE"""),"FITA")</f>
        <v>FITA</v>
      </c>
    </row>
    <row r="697">
      <c r="A697" s="34" t="str">
        <f>IFERROR(__xludf.DUMMYFUNCTION("""COMPUTED_VALUE"""),"PARACETAMOL")</f>
        <v>PARACETAMOL</v>
      </c>
      <c r="B697" s="34">
        <f>IFERROR(__xludf.DUMMYFUNCTION("""COMPUTED_VALUE"""),1.0)</f>
        <v>1</v>
      </c>
      <c r="C697" s="36">
        <f>IFERROR(__xludf.DUMMYFUNCTION("""COMPUTED_VALUE"""),46181.0)</f>
        <v>46181</v>
      </c>
      <c r="D697" s="34" t="str">
        <f>IFERROR(__xludf.DUMMYFUNCTION("""COMPUTED_VALUE"""),"FITA")</f>
        <v>FITA</v>
      </c>
    </row>
    <row r="698">
      <c r="A698" s="34" t="str">
        <f>IFERROR(__xludf.DUMMYFUNCTION("""COMPUTED_VALUE"""),"ISI PULPEN DELI")</f>
        <v>ISI PULPEN DELI</v>
      </c>
      <c r="B698" s="34">
        <f>IFERROR(__xludf.DUMMYFUNCTION("""COMPUTED_VALUE"""),1.0)</f>
        <v>1</v>
      </c>
      <c r="C698" s="36">
        <f>IFERROR(__xludf.DUMMYFUNCTION("""COMPUTED_VALUE"""),46181.0)</f>
        <v>46181</v>
      </c>
      <c r="D698" s="34" t="str">
        <f>IFERROR(__xludf.DUMMYFUNCTION("""COMPUTED_VALUE"""),"FITA")</f>
        <v>FITA</v>
      </c>
    </row>
    <row r="699">
      <c r="A699" s="34" t="str">
        <f>IFERROR(__xludf.DUMMYFUNCTION("""COMPUTED_VALUE"""),"SPIDOL MERAH")</f>
        <v>SPIDOL MERAH</v>
      </c>
      <c r="B699" s="34">
        <f>IFERROR(__xludf.DUMMYFUNCTION("""COMPUTED_VALUE"""),1.0)</f>
        <v>1</v>
      </c>
      <c r="C699" s="36">
        <f>IFERROR(__xludf.DUMMYFUNCTION("""COMPUTED_VALUE"""),46181.0)</f>
        <v>46181</v>
      </c>
      <c r="D699" s="34" t="str">
        <f>IFERROR(__xludf.DUMMYFUNCTION("""COMPUTED_VALUE"""),"FITA")</f>
        <v>FITA</v>
      </c>
    </row>
    <row r="700">
      <c r="A700" s="34" t="str">
        <f>IFERROR(__xludf.DUMMYFUNCTION("""COMPUTED_VALUE"""),"LATEX SARUNG TANGAN ")</f>
        <v>LATEX SARUNG TANGAN </v>
      </c>
      <c r="B700" s="34">
        <f>IFERROR(__xludf.DUMMYFUNCTION("""COMPUTED_VALUE"""),1.0)</f>
        <v>1</v>
      </c>
      <c r="C700" s="36">
        <f>IFERROR(__xludf.DUMMYFUNCTION("""COMPUTED_VALUE"""),46181.0)</f>
        <v>46181</v>
      </c>
      <c r="D700" s="34" t="str">
        <f>IFERROR(__xludf.DUMMYFUNCTION("""COMPUTED_VALUE"""),"FITA")</f>
        <v>FITA</v>
      </c>
    </row>
    <row r="701">
      <c r="A701" s="34" t="str">
        <f>IFERROR(__xludf.DUMMYFUNCTION("""COMPUTED_VALUE"""),"WASTAFEL LEHER ANGSA")</f>
        <v>WASTAFEL LEHER ANGSA</v>
      </c>
      <c r="B701" s="34">
        <f>IFERROR(__xludf.DUMMYFUNCTION("""COMPUTED_VALUE"""),2.0)</f>
        <v>2</v>
      </c>
      <c r="C701" s="36">
        <f>IFERROR(__xludf.DUMMYFUNCTION("""COMPUTED_VALUE"""),46181.0)</f>
        <v>46181</v>
      </c>
      <c r="D701" s="34" t="str">
        <f>IFERROR(__xludf.DUMMYFUNCTION("""COMPUTED_VALUE"""),"MTC")</f>
        <v>MTC</v>
      </c>
    </row>
    <row r="702">
      <c r="A702" s="34" t="str">
        <f>IFERROR(__xludf.DUMMYFUNCTION("""COMPUTED_VALUE"""),"TISSUE")</f>
        <v>TISSUE</v>
      </c>
      <c r="B702" s="34">
        <f>IFERROR(__xludf.DUMMYFUNCTION("""COMPUTED_VALUE"""),1.0)</f>
        <v>1</v>
      </c>
      <c r="C702" s="36">
        <f>IFERROR(__xludf.DUMMYFUNCTION("""COMPUTED_VALUE"""),46181.0)</f>
        <v>46181</v>
      </c>
      <c r="D702" s="34" t="str">
        <f>IFERROR(__xludf.DUMMYFUNCTION("""COMPUTED_VALUE"""),"MTC")</f>
        <v>MTC</v>
      </c>
    </row>
    <row r="703">
      <c r="A703" s="34" t="str">
        <f>IFERROR(__xludf.DUMMYFUNCTION("""COMPUTED_VALUE"""),"SEALANT")</f>
        <v>SEALANT</v>
      </c>
      <c r="B703" s="34">
        <f>IFERROR(__xludf.DUMMYFUNCTION("""COMPUTED_VALUE"""),1.0)</f>
        <v>1</v>
      </c>
      <c r="C703" s="36">
        <f>IFERROR(__xludf.DUMMYFUNCTION("""COMPUTED_VALUE"""),46181.0)</f>
        <v>46181</v>
      </c>
      <c r="D703" s="34" t="str">
        <f>IFERROR(__xludf.DUMMYFUNCTION("""COMPUTED_VALUE"""),"GA")</f>
        <v>GA</v>
      </c>
    </row>
    <row r="704">
      <c r="A704" s="34" t="str">
        <f>IFERROR(__xludf.DUMMYFUNCTION("""COMPUTED_VALUE"""),"MASKER")</f>
        <v>MASKER</v>
      </c>
      <c r="B704" s="34">
        <f>IFERROR(__xludf.DUMMYFUNCTION("""COMPUTED_VALUE"""),2.0)</f>
        <v>2</v>
      </c>
      <c r="C704" s="36">
        <f>IFERROR(__xludf.DUMMYFUNCTION("""COMPUTED_VALUE"""),46181.0)</f>
        <v>46181</v>
      </c>
      <c r="D704" s="34" t="str">
        <f>IFERROR(__xludf.DUMMYFUNCTION("""COMPUTED_VALUE"""),"DANI")</f>
        <v>DANI</v>
      </c>
    </row>
    <row r="705">
      <c r="A705" s="34" t="str">
        <f>IFERROR(__xludf.DUMMYFUNCTION("""COMPUTED_VALUE"""),"TISSUE")</f>
        <v>TISSUE</v>
      </c>
      <c r="B705" s="34">
        <f>IFERROR(__xludf.DUMMYFUNCTION("""COMPUTED_VALUE"""),2.0)</f>
        <v>2</v>
      </c>
      <c r="C705" s="36">
        <f>IFERROR(__xludf.DUMMYFUNCTION("""COMPUTED_VALUE"""),46181.0)</f>
        <v>46181</v>
      </c>
      <c r="D705" s="34" t="str">
        <f>IFERROR(__xludf.DUMMYFUNCTION("""COMPUTED_VALUE"""),"DANI")</f>
        <v>DANI</v>
      </c>
    </row>
    <row r="706">
      <c r="A706" s="34" t="str">
        <f>IFERROR(__xludf.DUMMYFUNCTION("""COMPUTED_VALUE"""),"LATEX SARUNG TANGAN ")</f>
        <v>LATEX SARUNG TANGAN </v>
      </c>
      <c r="B706" s="34">
        <f>IFERROR(__xludf.DUMMYFUNCTION("""COMPUTED_VALUE"""),2.0)</f>
        <v>2</v>
      </c>
      <c r="C706" s="36">
        <f>IFERROR(__xludf.DUMMYFUNCTION("""COMPUTED_VALUE"""),46181.0)</f>
        <v>46181</v>
      </c>
      <c r="D706" s="34" t="str">
        <f>IFERROR(__xludf.DUMMYFUNCTION("""COMPUTED_VALUE"""),"DANI")</f>
        <v>DANI</v>
      </c>
    </row>
    <row r="707">
      <c r="A707" s="34" t="str">
        <f>IFERROR(__xludf.DUMMYFUNCTION("""COMPUTED_VALUE"""),"MASKER")</f>
        <v>MASKER</v>
      </c>
      <c r="B707" s="34">
        <f>IFERROR(__xludf.DUMMYFUNCTION("""COMPUTED_VALUE"""),2.0)</f>
        <v>2</v>
      </c>
      <c r="C707" s="36">
        <f>IFERROR(__xludf.DUMMYFUNCTION("""COMPUTED_VALUE"""),46181.0)</f>
        <v>46181</v>
      </c>
      <c r="D707" s="34" t="str">
        <f>IFERROR(__xludf.DUMMYFUNCTION("""COMPUTED_VALUE"""),"FARHAN")</f>
        <v>FARHAN</v>
      </c>
    </row>
    <row r="708">
      <c r="A708" s="34" t="str">
        <f>IFERROR(__xludf.DUMMYFUNCTION("""COMPUTED_VALUE"""),"LATEX SARUNG TANGAN ")</f>
        <v>LATEX SARUNG TANGAN </v>
      </c>
      <c r="B708" s="34">
        <f>IFERROR(__xludf.DUMMYFUNCTION("""COMPUTED_VALUE"""),2.0)</f>
        <v>2</v>
      </c>
      <c r="C708" s="36">
        <f>IFERROR(__xludf.DUMMYFUNCTION("""COMPUTED_VALUE"""),46181.0)</f>
        <v>46181</v>
      </c>
      <c r="D708" s="34" t="str">
        <f>IFERROR(__xludf.DUMMYFUNCTION("""COMPUTED_VALUE"""),"FARHAN")</f>
        <v>FARHAN</v>
      </c>
    </row>
    <row r="709">
      <c r="A709" s="34" t="str">
        <f>IFERROR(__xludf.DUMMYFUNCTION("""COMPUTED_VALUE"""),"MASKER")</f>
        <v>MASKER</v>
      </c>
      <c r="B709" s="34">
        <f>IFERROR(__xludf.DUMMYFUNCTION("""COMPUTED_VALUE"""),1.0)</f>
        <v>1</v>
      </c>
      <c r="C709" s="36">
        <f>IFERROR(__xludf.DUMMYFUNCTION("""COMPUTED_VALUE"""),46182.0)</f>
        <v>46182</v>
      </c>
      <c r="D709" s="34" t="str">
        <f>IFERROR(__xludf.DUMMYFUNCTION("""COMPUTED_VALUE"""),"BAGAS")</f>
        <v>BAGAS</v>
      </c>
    </row>
    <row r="710">
      <c r="A710" s="34" t="str">
        <f>IFERROR(__xludf.DUMMYFUNCTION("""COMPUTED_VALUE"""),"LATEX SARUNG TANGAN ")</f>
        <v>LATEX SARUNG TANGAN </v>
      </c>
      <c r="B710" s="34">
        <f>IFERROR(__xludf.DUMMYFUNCTION("""COMPUTED_VALUE"""),1.0)</f>
        <v>1</v>
      </c>
      <c r="C710" s="36">
        <f>IFERROR(__xludf.DUMMYFUNCTION("""COMPUTED_VALUE"""),46182.0)</f>
        <v>46182</v>
      </c>
      <c r="D710" s="34" t="str">
        <f>IFERROR(__xludf.DUMMYFUNCTION("""COMPUTED_VALUE"""),"BAGAS")</f>
        <v>BAGAS</v>
      </c>
    </row>
    <row r="711">
      <c r="A711" s="34" t="str">
        <f>IFERROR(__xludf.DUMMYFUNCTION("""COMPUTED_VALUE"""),"SABUN CUCI PIRING ")</f>
        <v>SABUN CUCI PIRING </v>
      </c>
      <c r="B711" s="34">
        <f>IFERROR(__xludf.DUMMYFUNCTION("""COMPUTED_VALUE"""),1.0)</f>
        <v>1</v>
      </c>
      <c r="C711" s="36">
        <f>IFERROR(__xludf.DUMMYFUNCTION("""COMPUTED_VALUE"""),46182.0)</f>
        <v>46182</v>
      </c>
      <c r="D711" s="34" t="str">
        <f>IFERROR(__xludf.DUMMYFUNCTION("""COMPUTED_VALUE"""),"BAGAS")</f>
        <v>BAGAS</v>
      </c>
    </row>
    <row r="712">
      <c r="A712" s="34" t="str">
        <f>IFERROR(__xludf.DUMMYFUNCTION("""COMPUTED_VALUE"""),"MASKER")</f>
        <v>MASKER</v>
      </c>
      <c r="B712" s="34">
        <f>IFERROR(__xludf.DUMMYFUNCTION("""COMPUTED_VALUE"""),2.0)</f>
        <v>2</v>
      </c>
      <c r="C712" s="36">
        <f>IFERROR(__xludf.DUMMYFUNCTION("""COMPUTED_VALUE"""),46182.0)</f>
        <v>46182</v>
      </c>
      <c r="D712" s="34" t="str">
        <f>IFERROR(__xludf.DUMMYFUNCTION("""COMPUTED_VALUE"""),"FITA")</f>
        <v>FITA</v>
      </c>
    </row>
    <row r="713">
      <c r="A713" s="34" t="str">
        <f>IFERROR(__xludf.DUMMYFUNCTION("""COMPUTED_VALUE"""),"MASKER")</f>
        <v>MASKER</v>
      </c>
      <c r="B713" s="34">
        <f>IFERROR(__xludf.DUMMYFUNCTION("""COMPUTED_VALUE"""),1.0)</f>
        <v>1</v>
      </c>
      <c r="C713" s="36">
        <f>IFERROR(__xludf.DUMMYFUNCTION("""COMPUTED_VALUE"""),46182.0)</f>
        <v>46182</v>
      </c>
      <c r="D713" s="34" t="str">
        <f>IFERROR(__xludf.DUMMYFUNCTION("""COMPUTED_VALUE"""),"BAGAS")</f>
        <v>BAGAS</v>
      </c>
    </row>
    <row r="714">
      <c r="A714" s="34" t="str">
        <f>IFERROR(__xludf.DUMMYFUNCTION("""COMPUTED_VALUE"""),"MASKER")</f>
        <v>MASKER</v>
      </c>
      <c r="B714" s="34">
        <f>IFERROR(__xludf.DUMMYFUNCTION("""COMPUTED_VALUE"""),1.0)</f>
        <v>1</v>
      </c>
      <c r="C714" s="36">
        <f>IFERROR(__xludf.DUMMYFUNCTION("""COMPUTED_VALUE"""),46182.0)</f>
        <v>46182</v>
      </c>
      <c r="D714" s="34" t="str">
        <f>IFERROR(__xludf.DUMMYFUNCTION("""COMPUTED_VALUE"""),"DANI")</f>
        <v>DANI</v>
      </c>
    </row>
    <row r="715">
      <c r="A715" s="34" t="str">
        <f>IFERROR(__xludf.DUMMYFUNCTION("""COMPUTED_VALUE"""),"LATEX SARUNG TANGAN ")</f>
        <v>LATEX SARUNG TANGAN </v>
      </c>
      <c r="B715" s="34">
        <f>IFERROR(__xludf.DUMMYFUNCTION("""COMPUTED_VALUE"""),1.0)</f>
        <v>1</v>
      </c>
      <c r="C715" s="36">
        <f>IFERROR(__xludf.DUMMYFUNCTION("""COMPUTED_VALUE"""),46182.0)</f>
        <v>46182</v>
      </c>
      <c r="D715" s="34" t="str">
        <f>IFERROR(__xludf.DUMMYFUNCTION("""COMPUTED_VALUE"""),"DANI")</f>
        <v>DANI</v>
      </c>
    </row>
    <row r="716">
      <c r="A716" s="34" t="str">
        <f>IFERROR(__xludf.DUMMYFUNCTION("""COMPUTED_VALUE"""),"TISSUE")</f>
        <v>TISSUE</v>
      </c>
      <c r="B716" s="34">
        <f>IFERROR(__xludf.DUMMYFUNCTION("""COMPUTED_VALUE"""),1.0)</f>
        <v>1</v>
      </c>
      <c r="C716" s="36">
        <f>IFERROR(__xludf.DUMMYFUNCTION("""COMPUTED_VALUE"""),46182.0)</f>
        <v>46182</v>
      </c>
      <c r="D716" s="34" t="str">
        <f>IFERROR(__xludf.DUMMYFUNCTION("""COMPUTED_VALUE"""),"DANI")</f>
        <v>DANI</v>
      </c>
    </row>
    <row r="717">
      <c r="A717" s="34" t="str">
        <f>IFERROR(__xludf.DUMMYFUNCTION("""COMPUTED_VALUE"""),"TISSUE")</f>
        <v>TISSUE</v>
      </c>
      <c r="B717" s="34">
        <f>IFERROR(__xludf.DUMMYFUNCTION("""COMPUTED_VALUE"""),1.0)</f>
        <v>1</v>
      </c>
      <c r="C717" s="36">
        <f>IFERROR(__xludf.DUMMYFUNCTION("""COMPUTED_VALUE"""),46183.0)</f>
        <v>46183</v>
      </c>
      <c r="D717" s="34" t="str">
        <f>IFERROR(__xludf.DUMMYFUNCTION("""COMPUTED_VALUE"""),"ROY")</f>
        <v>ROY</v>
      </c>
    </row>
    <row r="718">
      <c r="A718" s="34" t="str">
        <f>IFERROR(__xludf.DUMMYFUNCTION("""COMPUTED_VALUE"""),"MASKER")</f>
        <v>MASKER</v>
      </c>
      <c r="B718" s="34">
        <f>IFERROR(__xludf.DUMMYFUNCTION("""COMPUTED_VALUE"""),1.0)</f>
        <v>1</v>
      </c>
      <c r="C718" s="36">
        <f>IFERROR(__xludf.DUMMYFUNCTION("""COMPUTED_VALUE"""),46183.0)</f>
        <v>46183</v>
      </c>
      <c r="D718" s="34" t="str">
        <f>IFERROR(__xludf.DUMMYFUNCTION("""COMPUTED_VALUE"""),"ROY")</f>
        <v>ROY</v>
      </c>
    </row>
    <row r="719">
      <c r="A719" s="34" t="str">
        <f>IFERROR(__xludf.DUMMYFUNCTION("""COMPUTED_VALUE"""),"MASKER")</f>
        <v>MASKER</v>
      </c>
      <c r="B719" s="34">
        <f>IFERROR(__xludf.DUMMYFUNCTION("""COMPUTED_VALUE"""),2.0)</f>
        <v>2</v>
      </c>
      <c r="C719" s="36">
        <f>IFERROR(__xludf.DUMMYFUNCTION("""COMPUTED_VALUE"""),46183.0)</f>
        <v>46183</v>
      </c>
      <c r="D719" s="34" t="str">
        <f>IFERROR(__xludf.DUMMYFUNCTION("""COMPUTED_VALUE"""),"FARHAN")</f>
        <v>FARHAN</v>
      </c>
    </row>
    <row r="720">
      <c r="A720" s="34" t="str">
        <f>IFERROR(__xludf.DUMMYFUNCTION("""COMPUTED_VALUE"""),"KERTAS HVS A4")</f>
        <v>KERTAS HVS A4</v>
      </c>
      <c r="B720" s="34">
        <f>IFERROR(__xludf.DUMMYFUNCTION("""COMPUTED_VALUE"""),1.0)</f>
        <v>1</v>
      </c>
      <c r="C720" s="36">
        <f>IFERROR(__xludf.DUMMYFUNCTION("""COMPUTED_VALUE"""),46183.0)</f>
        <v>46183</v>
      </c>
      <c r="D720" s="34" t="str">
        <f>IFERROR(__xludf.DUMMYFUNCTION("""COMPUTED_VALUE"""),"FARHAN")</f>
        <v>FARHAN</v>
      </c>
    </row>
    <row r="721">
      <c r="A721" s="34" t="str">
        <f>IFERROR(__xludf.DUMMYFUNCTION("""COMPUTED_VALUE"""),"TISSUE")</f>
        <v>TISSUE</v>
      </c>
      <c r="B721" s="34">
        <f>IFERROR(__xludf.DUMMYFUNCTION("""COMPUTED_VALUE"""),1.0)</f>
        <v>1</v>
      </c>
      <c r="C721" s="36">
        <f>IFERROR(__xludf.DUMMYFUNCTION("""COMPUTED_VALUE"""),46183.0)</f>
        <v>46183</v>
      </c>
      <c r="D721" s="34" t="str">
        <f>IFERROR(__xludf.DUMMYFUNCTION("""COMPUTED_VALUE"""),"FARHAN")</f>
        <v>FARHAN</v>
      </c>
    </row>
    <row r="722">
      <c r="A722" s="34" t="str">
        <f>IFERROR(__xludf.DUMMYFUNCTION("""COMPUTED_VALUE"""),"MASKER")</f>
        <v>MASKER</v>
      </c>
      <c r="B722" s="34">
        <f>IFERROR(__xludf.DUMMYFUNCTION("""COMPUTED_VALUE"""),1.0)</f>
        <v>1</v>
      </c>
      <c r="C722" s="36">
        <f>IFERROR(__xludf.DUMMYFUNCTION("""COMPUTED_VALUE"""),46183.0)</f>
        <v>46183</v>
      </c>
      <c r="D722" s="34" t="str">
        <f>IFERROR(__xludf.DUMMYFUNCTION("""COMPUTED_VALUE"""),"BAGAS")</f>
        <v>BAGAS</v>
      </c>
    </row>
    <row r="723">
      <c r="A723" s="34" t="str">
        <f>IFERROR(__xludf.DUMMYFUNCTION("""COMPUTED_VALUE"""),"LATEX SARUNG TANGAN ")</f>
        <v>LATEX SARUNG TANGAN </v>
      </c>
      <c r="B723" s="34">
        <f>IFERROR(__xludf.DUMMYFUNCTION("""COMPUTED_VALUE"""),1.0)</f>
        <v>1</v>
      </c>
      <c r="C723" s="36">
        <f>IFERROR(__xludf.DUMMYFUNCTION("""COMPUTED_VALUE"""),46183.0)</f>
        <v>46183</v>
      </c>
      <c r="D723" s="34" t="str">
        <f>IFERROR(__xludf.DUMMYFUNCTION("""COMPUTED_VALUE"""),"BAGAS")</f>
        <v>BAGAS</v>
      </c>
    </row>
    <row r="724">
      <c r="A724" s="34" t="str">
        <f>IFERROR(__xludf.DUMMYFUNCTION("""COMPUTED_VALUE"""),"TISSUE")</f>
        <v>TISSUE</v>
      </c>
      <c r="B724" s="34">
        <f>IFERROR(__xludf.DUMMYFUNCTION("""COMPUTED_VALUE"""),1.0)</f>
        <v>1</v>
      </c>
      <c r="C724" s="36">
        <f>IFERROR(__xludf.DUMMYFUNCTION("""COMPUTED_VALUE"""),46183.0)</f>
        <v>46183</v>
      </c>
      <c r="D724" s="34" t="str">
        <f>IFERROR(__xludf.DUMMYFUNCTION("""COMPUTED_VALUE"""),"BAGAS")</f>
        <v>BAGAS</v>
      </c>
    </row>
    <row r="725">
      <c r="A725" s="34" t="str">
        <f>IFERROR(__xludf.DUMMYFUNCTION("""COMPUTED_VALUE"""),"TISSUE")</f>
        <v>TISSUE</v>
      </c>
      <c r="B725" s="34">
        <f>IFERROR(__xludf.DUMMYFUNCTION("""COMPUTED_VALUE"""),1.0)</f>
        <v>1</v>
      </c>
      <c r="C725" s="36">
        <f>IFERROR(__xludf.DUMMYFUNCTION("""COMPUTED_VALUE"""),46183.0)</f>
        <v>46183</v>
      </c>
      <c r="D725" s="34" t="str">
        <f>IFERROR(__xludf.DUMMYFUNCTION("""COMPUTED_VALUE"""),"FATHUR")</f>
        <v>FATHUR</v>
      </c>
    </row>
    <row r="726">
      <c r="A726" s="34" t="str">
        <f>IFERROR(__xludf.DUMMYFUNCTION("""COMPUTED_VALUE"""),"BANTEX ")</f>
        <v>BANTEX </v>
      </c>
      <c r="B726" s="34">
        <f>IFERROR(__xludf.DUMMYFUNCTION("""COMPUTED_VALUE"""),5.0)</f>
        <v>5</v>
      </c>
      <c r="C726" s="36">
        <f>IFERROR(__xludf.DUMMYFUNCTION("""COMPUTED_VALUE"""),46183.0)</f>
        <v>46183</v>
      </c>
      <c r="D726" s="34" t="str">
        <f>IFERROR(__xludf.DUMMYFUNCTION("""COMPUTED_VALUE"""),"FATHUR")</f>
        <v>FATHUR</v>
      </c>
    </row>
    <row r="727">
      <c r="A727" s="34" t="str">
        <f>IFERROR(__xludf.DUMMYFUNCTION("""COMPUTED_VALUE"""),"SPIDOL HITAM")</f>
        <v>SPIDOL HITAM</v>
      </c>
      <c r="B727" s="34">
        <f>IFERROR(__xludf.DUMMYFUNCTION("""COMPUTED_VALUE"""),1.0)</f>
        <v>1</v>
      </c>
      <c r="C727" s="36">
        <f>IFERROR(__xludf.DUMMYFUNCTION("""COMPUTED_VALUE"""),46183.0)</f>
        <v>46183</v>
      </c>
      <c r="D727" s="34" t="str">
        <f>IFERROR(__xludf.DUMMYFUNCTION("""COMPUTED_VALUE"""),"FATHUR")</f>
        <v>FATHUR</v>
      </c>
    </row>
    <row r="728">
      <c r="A728" s="34" t="str">
        <f>IFERROR(__xludf.DUMMYFUNCTION("""COMPUTED_VALUE"""),"SPIDOL MERAH")</f>
        <v>SPIDOL MERAH</v>
      </c>
      <c r="B728" s="34">
        <f>IFERROR(__xludf.DUMMYFUNCTION("""COMPUTED_VALUE"""),1.0)</f>
        <v>1</v>
      </c>
      <c r="C728" s="36">
        <f>IFERROR(__xludf.DUMMYFUNCTION("""COMPUTED_VALUE"""),46183.0)</f>
        <v>46183</v>
      </c>
      <c r="D728" s="34" t="str">
        <f>IFERROR(__xludf.DUMMYFUNCTION("""COMPUTED_VALUE"""),"FATHUR")</f>
        <v>FATHUR</v>
      </c>
    </row>
    <row r="729">
      <c r="A729" s="34" t="str">
        <f>IFERROR(__xludf.DUMMYFUNCTION("""COMPUTED_VALUE"""),"PULPEN HITAM")</f>
        <v>PULPEN HITAM</v>
      </c>
      <c r="B729" s="34">
        <f>IFERROR(__xludf.DUMMYFUNCTION("""COMPUTED_VALUE"""),1.0)</f>
        <v>1</v>
      </c>
      <c r="C729" s="36">
        <f>IFERROR(__xludf.DUMMYFUNCTION("""COMPUTED_VALUE"""),46183.0)</f>
        <v>46183</v>
      </c>
      <c r="D729" s="34" t="str">
        <f>IFERROR(__xludf.DUMMYFUNCTION("""COMPUTED_VALUE"""),"FATHUR")</f>
        <v>FATHUR</v>
      </c>
    </row>
    <row r="730">
      <c r="A730" s="34" t="str">
        <f>IFERROR(__xludf.DUMMYFUNCTION("""COMPUTED_VALUE"""),"ISI CUTTER")</f>
        <v>ISI CUTTER</v>
      </c>
      <c r="B730" s="34">
        <f>IFERROR(__xludf.DUMMYFUNCTION("""COMPUTED_VALUE"""),1.0)</f>
        <v>1</v>
      </c>
      <c r="C730" s="36">
        <f>IFERROR(__xludf.DUMMYFUNCTION("""COMPUTED_VALUE"""),46183.0)</f>
        <v>46183</v>
      </c>
      <c r="D730" s="34" t="str">
        <f>IFERROR(__xludf.DUMMYFUNCTION("""COMPUTED_VALUE"""),"FATHUR")</f>
        <v>FATHUR</v>
      </c>
    </row>
    <row r="731">
      <c r="A731" s="34" t="str">
        <f>IFERROR(__xludf.DUMMYFUNCTION("""COMPUTED_VALUE"""),"AIR MINERAL")</f>
        <v>AIR MINERAL</v>
      </c>
      <c r="B731" s="34">
        <f>IFERROR(__xludf.DUMMYFUNCTION("""COMPUTED_VALUE"""),24.0)</f>
        <v>24</v>
      </c>
      <c r="C731" s="36">
        <f>IFERROR(__xludf.DUMMYFUNCTION("""COMPUTED_VALUE"""),46183.0)</f>
        <v>46183</v>
      </c>
      <c r="D731" s="34" t="str">
        <f>IFERROR(__xludf.DUMMYFUNCTION("""COMPUTED_VALUE"""),"G2")</f>
        <v>G2</v>
      </c>
    </row>
    <row r="732">
      <c r="A732" s="34" t="str">
        <f>IFERROR(__xludf.DUMMYFUNCTION("""COMPUTED_VALUE"""),"SUSU ")</f>
        <v>SUSU </v>
      </c>
      <c r="B732" s="34">
        <f>IFERROR(__xludf.DUMMYFUNCTION("""COMPUTED_VALUE"""),24.0)</f>
        <v>24</v>
      </c>
      <c r="C732" s="36">
        <f>IFERROR(__xludf.DUMMYFUNCTION("""COMPUTED_VALUE"""),46183.0)</f>
        <v>46183</v>
      </c>
      <c r="D732" s="34" t="str">
        <f>IFERROR(__xludf.DUMMYFUNCTION("""COMPUTED_VALUE"""),"PANTRY")</f>
        <v>PANTRY</v>
      </c>
    </row>
    <row r="733">
      <c r="A733" s="34" t="str">
        <f>IFERROR(__xludf.DUMMYFUNCTION("""COMPUTED_VALUE"""),"TISSUE")</f>
        <v>TISSUE</v>
      </c>
      <c r="B733" s="34">
        <f>IFERROR(__xludf.DUMMYFUNCTION("""COMPUTED_VALUE"""),2.0)</f>
        <v>2</v>
      </c>
      <c r="C733" s="36">
        <f>IFERROR(__xludf.DUMMYFUNCTION("""COMPUTED_VALUE"""),46183.0)</f>
        <v>46183</v>
      </c>
      <c r="D733" s="34" t="str">
        <f>IFERROR(__xludf.DUMMYFUNCTION("""COMPUTED_VALUE"""),"PANTRY")</f>
        <v>PANTRY</v>
      </c>
    </row>
    <row r="734">
      <c r="A734" s="34" t="str">
        <f>IFERROR(__xludf.DUMMYFUNCTION("""COMPUTED_VALUE"""),"LATEX SARUNG TANGAN ")</f>
        <v>LATEX SARUNG TANGAN </v>
      </c>
      <c r="B734" s="34">
        <f>IFERROR(__xludf.DUMMYFUNCTION("""COMPUTED_VALUE"""),2.0)</f>
        <v>2</v>
      </c>
      <c r="C734" s="36">
        <f>IFERROR(__xludf.DUMMYFUNCTION("""COMPUTED_VALUE"""),46183.0)</f>
        <v>46183</v>
      </c>
      <c r="D734" s="34" t="str">
        <f>IFERROR(__xludf.DUMMYFUNCTION("""COMPUTED_VALUE"""),"DANI")</f>
        <v>DANI</v>
      </c>
    </row>
    <row r="735">
      <c r="A735" s="34" t="str">
        <f>IFERROR(__xludf.DUMMYFUNCTION("""COMPUTED_VALUE"""),"MASKER")</f>
        <v>MASKER</v>
      </c>
      <c r="B735" s="34">
        <f>IFERROR(__xludf.DUMMYFUNCTION("""COMPUTED_VALUE"""),2.0)</f>
        <v>2</v>
      </c>
      <c r="C735" s="36">
        <f>IFERROR(__xludf.DUMMYFUNCTION("""COMPUTED_VALUE"""),46183.0)</f>
        <v>46183</v>
      </c>
      <c r="D735" s="34" t="str">
        <f>IFERROR(__xludf.DUMMYFUNCTION("""COMPUTED_VALUE"""),"DANI")</f>
        <v>DANI</v>
      </c>
    </row>
    <row r="736">
      <c r="A736" s="34" t="str">
        <f>IFERROR(__xludf.DUMMYFUNCTION("""COMPUTED_VALUE"""),"TISSUE")</f>
        <v>TISSUE</v>
      </c>
      <c r="B736" s="34">
        <f>IFERROR(__xludf.DUMMYFUNCTION("""COMPUTED_VALUE"""),1.0)</f>
        <v>1</v>
      </c>
      <c r="C736" s="36">
        <f>IFERROR(__xludf.DUMMYFUNCTION("""COMPUTED_VALUE"""),46183.0)</f>
        <v>46183</v>
      </c>
      <c r="D736" s="34" t="str">
        <f>IFERROR(__xludf.DUMMYFUNCTION("""COMPUTED_VALUE"""),"DANI")</f>
        <v>DANI</v>
      </c>
    </row>
    <row r="737">
      <c r="A737" s="34" t="str">
        <f>IFERROR(__xludf.DUMMYFUNCTION("""COMPUTED_VALUE"""),"PULPEN HITAM")</f>
        <v>PULPEN HITAM</v>
      </c>
      <c r="B737" s="34">
        <f>IFERROR(__xludf.DUMMYFUNCTION("""COMPUTED_VALUE"""),3.0)</f>
        <v>3</v>
      </c>
      <c r="C737" s="36">
        <f>IFERROR(__xludf.DUMMYFUNCTION("""COMPUTED_VALUE"""),46183.0)</f>
        <v>46183</v>
      </c>
      <c r="D737" s="34" t="str">
        <f>IFERROR(__xludf.DUMMYFUNCTION("""COMPUTED_VALUE"""),"ASTIKA")</f>
        <v>ASTIKA</v>
      </c>
    </row>
    <row r="738">
      <c r="A738" s="34" t="str">
        <f>IFERROR(__xludf.DUMMYFUNCTION("""COMPUTED_VALUE"""),"SPIDOL HITAM")</f>
        <v>SPIDOL HITAM</v>
      </c>
      <c r="B738" s="34">
        <f>IFERROR(__xludf.DUMMYFUNCTION("""COMPUTED_VALUE"""),1.0)</f>
        <v>1</v>
      </c>
      <c r="C738" s="36">
        <f>IFERROR(__xludf.DUMMYFUNCTION("""COMPUTED_VALUE"""),46183.0)</f>
        <v>46183</v>
      </c>
      <c r="D738" s="34" t="str">
        <f>IFERROR(__xludf.DUMMYFUNCTION("""COMPUTED_VALUE"""),"ASTIKA")</f>
        <v>ASTIKA</v>
      </c>
    </row>
    <row r="739">
      <c r="A739" s="34" t="str">
        <f>IFERROR(__xludf.DUMMYFUNCTION("""COMPUTED_VALUE"""),"PAPAN JALAN")</f>
        <v>PAPAN JALAN</v>
      </c>
      <c r="B739" s="34">
        <f>IFERROR(__xludf.DUMMYFUNCTION("""COMPUTED_VALUE"""),1.0)</f>
        <v>1</v>
      </c>
      <c r="C739" s="36">
        <f>IFERROR(__xludf.DUMMYFUNCTION("""COMPUTED_VALUE"""),46183.0)</f>
        <v>46183</v>
      </c>
      <c r="D739" s="34" t="str">
        <f>IFERROR(__xludf.DUMMYFUNCTION("""COMPUTED_VALUE"""),"ASTIKA")</f>
        <v>ASTIKA</v>
      </c>
    </row>
    <row r="740">
      <c r="A740" s="34" t="str">
        <f>IFERROR(__xludf.DUMMYFUNCTION("""COMPUTED_VALUE"""),"HANDSPLAST WARNA WARNI")</f>
        <v>HANDSPLAST WARNA WARNI</v>
      </c>
      <c r="B740" s="34">
        <f>IFERROR(__xludf.DUMMYFUNCTION("""COMPUTED_VALUE"""),1.0)</f>
        <v>1</v>
      </c>
      <c r="C740" s="36">
        <f>IFERROR(__xludf.DUMMYFUNCTION("""COMPUTED_VALUE"""),46183.0)</f>
        <v>46183</v>
      </c>
      <c r="D740" s="34" t="str">
        <f>IFERROR(__xludf.DUMMYFUNCTION("""COMPUTED_VALUE"""),"ASTIKA")</f>
        <v>ASTIKA</v>
      </c>
    </row>
    <row r="741">
      <c r="A741" s="34" t="str">
        <f>IFERROR(__xludf.DUMMYFUNCTION("""COMPUTED_VALUE"""),"KALKULATOR CITIZEN TYPE SDC 868 L")</f>
        <v>KALKULATOR CITIZEN TYPE SDC 868 L</v>
      </c>
      <c r="B741" s="34">
        <f>IFERROR(__xludf.DUMMYFUNCTION("""COMPUTED_VALUE"""),1.0)</f>
        <v>1</v>
      </c>
      <c r="C741" s="36">
        <f>IFERROR(__xludf.DUMMYFUNCTION("""COMPUTED_VALUE"""),46183.0)</f>
        <v>46183</v>
      </c>
      <c r="D741" s="34" t="str">
        <f>IFERROR(__xludf.DUMMYFUNCTION("""COMPUTED_VALUE"""),"ASTIKA")</f>
        <v>ASTIKA</v>
      </c>
    </row>
    <row r="742">
      <c r="A742" s="34" t="str">
        <f>IFERROR(__xludf.DUMMYFUNCTION("""COMPUTED_VALUE"""),"GUNTING")</f>
        <v>GUNTING</v>
      </c>
      <c r="B742" s="34">
        <f>IFERROR(__xludf.DUMMYFUNCTION("""COMPUTED_VALUE"""),1.0)</f>
        <v>1</v>
      </c>
      <c r="C742" s="36">
        <f>IFERROR(__xludf.DUMMYFUNCTION("""COMPUTED_VALUE"""),46183.0)</f>
        <v>46183</v>
      </c>
      <c r="D742" s="34" t="str">
        <f>IFERROR(__xludf.DUMMYFUNCTION("""COMPUTED_VALUE"""),"IENDAH")</f>
        <v>IENDAH</v>
      </c>
    </row>
    <row r="743">
      <c r="A743" s="34" t="str">
        <f>IFERROR(__xludf.DUMMYFUNCTION("""COMPUTED_VALUE"""),"SUSU ")</f>
        <v>SUSU </v>
      </c>
      <c r="B743" s="34">
        <f>IFERROR(__xludf.DUMMYFUNCTION("""COMPUTED_VALUE"""),48.0)</f>
        <v>48</v>
      </c>
      <c r="C743" s="36">
        <f>IFERROR(__xludf.DUMMYFUNCTION("""COMPUTED_VALUE"""),46184.0)</f>
        <v>46184</v>
      </c>
      <c r="D743" s="34" t="str">
        <f>IFERROR(__xludf.DUMMYFUNCTION("""COMPUTED_VALUE"""),"PANTRY")</f>
        <v>PANTRY</v>
      </c>
    </row>
    <row r="744">
      <c r="A744" s="34" t="str">
        <f>IFERROR(__xludf.DUMMYFUNCTION("""COMPUTED_VALUE"""),"PARACETAMOL")</f>
        <v>PARACETAMOL</v>
      </c>
      <c r="B744" s="34">
        <f>IFERROR(__xludf.DUMMYFUNCTION("""COMPUTED_VALUE"""),1.0)</f>
        <v>1</v>
      </c>
      <c r="C744" s="36">
        <f>IFERROR(__xludf.DUMMYFUNCTION("""COMPUTED_VALUE"""),46184.0)</f>
        <v>46184</v>
      </c>
      <c r="D744" s="34" t="str">
        <f>IFERROR(__xludf.DUMMYFUNCTION("""COMPUTED_VALUE"""),"PAK PUPUT")</f>
        <v>PAK PUPUT</v>
      </c>
    </row>
    <row r="745">
      <c r="A745" s="34" t="str">
        <f>IFERROR(__xludf.DUMMYFUNCTION("""COMPUTED_VALUE"""),"GUNTING")</f>
        <v>GUNTING</v>
      </c>
      <c r="B745" s="34">
        <f>IFERROR(__xludf.DUMMYFUNCTION("""COMPUTED_VALUE"""),1.0)</f>
        <v>1</v>
      </c>
      <c r="C745" s="36">
        <f>IFERROR(__xludf.DUMMYFUNCTION("""COMPUTED_VALUE"""),46184.0)</f>
        <v>46184</v>
      </c>
      <c r="D745" s="34" t="str">
        <f>IFERROR(__xludf.DUMMYFUNCTION("""COMPUTED_VALUE"""),"SHERLY")</f>
        <v>SHERLY</v>
      </c>
    </row>
    <row r="746">
      <c r="A746" s="34" t="str">
        <f>IFERROR(__xludf.DUMMYFUNCTION("""COMPUTED_VALUE"""),"TIPE - X")</f>
        <v>TIPE - X</v>
      </c>
      <c r="B746" s="34">
        <f>IFERROR(__xludf.DUMMYFUNCTION("""COMPUTED_VALUE"""),1.0)</f>
        <v>1</v>
      </c>
      <c r="C746" s="36">
        <f>IFERROR(__xludf.DUMMYFUNCTION("""COMPUTED_VALUE"""),46184.0)</f>
        <v>46184</v>
      </c>
      <c r="D746" s="34" t="str">
        <f>IFERROR(__xludf.DUMMYFUNCTION("""COMPUTED_VALUE"""),"SHERLY")</f>
        <v>SHERLY</v>
      </c>
    </row>
    <row r="747">
      <c r="A747" s="34" t="str">
        <f>IFERROR(__xludf.DUMMYFUNCTION("""COMPUTED_VALUE"""),"TINTA STEMPEL")</f>
        <v>TINTA STEMPEL</v>
      </c>
      <c r="B747" s="34">
        <f>IFERROR(__xludf.DUMMYFUNCTION("""COMPUTED_VALUE"""),1.0)</f>
        <v>1</v>
      </c>
      <c r="C747" s="36">
        <f>IFERROR(__xludf.DUMMYFUNCTION("""COMPUTED_VALUE"""),46184.0)</f>
        <v>46184</v>
      </c>
      <c r="D747" s="34" t="str">
        <f>IFERROR(__xludf.DUMMYFUNCTION("""COMPUTED_VALUE"""),"SHERLY")</f>
        <v>SHERLY</v>
      </c>
    </row>
    <row r="748">
      <c r="A748" s="34" t="str">
        <f>IFERROR(__xludf.DUMMYFUNCTION("""COMPUTED_VALUE"""),"MASKER")</f>
        <v>MASKER</v>
      </c>
      <c r="B748" s="34">
        <f>IFERROR(__xludf.DUMMYFUNCTION("""COMPUTED_VALUE"""),1.0)</f>
        <v>1</v>
      </c>
      <c r="C748" s="36">
        <f>IFERROR(__xludf.DUMMYFUNCTION("""COMPUTED_VALUE"""),46184.0)</f>
        <v>46184</v>
      </c>
      <c r="D748" s="34" t="str">
        <f>IFERROR(__xludf.DUMMYFUNCTION("""COMPUTED_VALUE"""),"BAGAS")</f>
        <v>BAGAS</v>
      </c>
    </row>
    <row r="749">
      <c r="A749" s="34" t="str">
        <f>IFERROR(__xludf.DUMMYFUNCTION("""COMPUTED_VALUE"""),"LATEX SARUNG TANGAN ")</f>
        <v>LATEX SARUNG TANGAN </v>
      </c>
      <c r="B749" s="34">
        <f>IFERROR(__xludf.DUMMYFUNCTION("""COMPUTED_VALUE"""),1.0)</f>
        <v>1</v>
      </c>
      <c r="C749" s="36">
        <f>IFERROR(__xludf.DUMMYFUNCTION("""COMPUTED_VALUE"""),46184.0)</f>
        <v>46184</v>
      </c>
      <c r="D749" s="34" t="str">
        <f>IFERROR(__xludf.DUMMYFUNCTION("""COMPUTED_VALUE"""),"BAGAS")</f>
        <v>BAGAS</v>
      </c>
    </row>
    <row r="750">
      <c r="A750" s="34" t="str">
        <f>IFERROR(__xludf.DUMMYFUNCTION("""COMPUTED_VALUE"""),"TOPRON PEMBERSIH KERAMIK , PORCELAIN BOTOL 1 LITER ")</f>
        <v>TOPRON PEMBERSIH KERAMIK , PORCELAIN BOTOL 1 LITER </v>
      </c>
      <c r="B750" s="34">
        <f>IFERROR(__xludf.DUMMYFUNCTION("""COMPUTED_VALUE"""),1.0)</f>
        <v>1</v>
      </c>
      <c r="C750" s="36">
        <f>IFERROR(__xludf.DUMMYFUNCTION("""COMPUTED_VALUE"""),46184.0)</f>
        <v>46184</v>
      </c>
      <c r="D750" s="34" t="str">
        <f>IFERROR(__xludf.DUMMYFUNCTION("""COMPUTED_VALUE"""),"MUHTADI")</f>
        <v>MUHTADI</v>
      </c>
    </row>
    <row r="751">
      <c r="A751" s="34" t="str">
        <f>IFERROR(__xludf.DUMMYFUNCTION("""COMPUTED_VALUE"""),"GLADE ")</f>
        <v>GLADE </v>
      </c>
      <c r="B751" s="34">
        <f>IFERROR(__xludf.DUMMYFUNCTION("""COMPUTED_VALUE"""),1.0)</f>
        <v>1</v>
      </c>
      <c r="C751" s="36">
        <f>IFERROR(__xludf.DUMMYFUNCTION("""COMPUTED_VALUE"""),46184.0)</f>
        <v>46184</v>
      </c>
      <c r="D751" s="34" t="str">
        <f>IFERROR(__xludf.DUMMYFUNCTION("""COMPUTED_VALUE"""),"MUHTADI")</f>
        <v>MUHTADI</v>
      </c>
    </row>
    <row r="752">
      <c r="A752" s="34" t="str">
        <f>IFERROR(__xludf.DUMMYFUNCTION("""COMPUTED_VALUE"""),"KUAS UKURAN 2 INC")</f>
        <v>KUAS UKURAN 2 INC</v>
      </c>
      <c r="B752" s="34">
        <f>IFERROR(__xludf.DUMMYFUNCTION("""COMPUTED_VALUE"""),1.0)</f>
        <v>1</v>
      </c>
      <c r="C752" s="36">
        <f>IFERROR(__xludf.DUMMYFUNCTION("""COMPUTED_VALUE"""),46184.0)</f>
        <v>46184</v>
      </c>
      <c r="D752" s="34" t="str">
        <f>IFERROR(__xludf.DUMMYFUNCTION("""COMPUTED_VALUE"""),"MUHTADI")</f>
        <v>MUHTADI</v>
      </c>
    </row>
    <row r="753">
      <c r="A753" s="34" t="str">
        <f>IFERROR(__xludf.DUMMYFUNCTION("""COMPUTED_VALUE"""),"AIR MINERAL")</f>
        <v>AIR MINERAL</v>
      </c>
      <c r="B753" s="34">
        <f>IFERROR(__xludf.DUMMYFUNCTION("""COMPUTED_VALUE"""),24.0)</f>
        <v>24</v>
      </c>
      <c r="C753" s="36">
        <f>IFERROR(__xludf.DUMMYFUNCTION("""COMPUTED_VALUE"""),46184.0)</f>
        <v>46184</v>
      </c>
      <c r="D753" s="34" t="str">
        <f>IFERROR(__xludf.DUMMYFUNCTION("""COMPUTED_VALUE"""),"PANTRY")</f>
        <v>PANTRY</v>
      </c>
    </row>
    <row r="754">
      <c r="A754" s="34" t="str">
        <f>IFERROR(__xludf.DUMMYFUNCTION("""COMPUTED_VALUE"""),"TEH BOTOL")</f>
        <v>TEH BOTOL</v>
      </c>
      <c r="B754" s="34">
        <f>IFERROR(__xludf.DUMMYFUNCTION("""COMPUTED_VALUE"""),24.0)</f>
        <v>24</v>
      </c>
      <c r="C754" s="36">
        <f>IFERROR(__xludf.DUMMYFUNCTION("""COMPUTED_VALUE"""),46184.0)</f>
        <v>46184</v>
      </c>
      <c r="D754" s="34" t="str">
        <f>IFERROR(__xludf.DUMMYFUNCTION("""COMPUTED_VALUE"""),"PANTRY")</f>
        <v>PANTRY</v>
      </c>
    </row>
    <row r="755">
      <c r="A755" s="34" t="str">
        <f>IFERROR(__xludf.DUMMYFUNCTION("""COMPUTED_VALUE"""),"SUSU ")</f>
        <v>SUSU </v>
      </c>
      <c r="B755" s="34">
        <f>IFERROR(__xludf.DUMMYFUNCTION("""COMPUTED_VALUE"""),120.0)</f>
        <v>120</v>
      </c>
      <c r="C755" s="36">
        <f>IFERROR(__xludf.DUMMYFUNCTION("""COMPUTED_VALUE"""),46184.0)</f>
        <v>46184</v>
      </c>
      <c r="D755" s="34" t="str">
        <f>IFERROR(__xludf.DUMMYFUNCTION("""COMPUTED_VALUE"""),"PANTRY")</f>
        <v>PANTRY</v>
      </c>
    </row>
    <row r="756">
      <c r="A756" s="34" t="str">
        <f>IFERROR(__xludf.DUMMYFUNCTION("""COMPUTED_VALUE"""),"SUSU ")</f>
        <v>SUSU </v>
      </c>
      <c r="B756" s="34">
        <f>IFERROR(__xludf.DUMMYFUNCTION("""COMPUTED_VALUE"""),96.0)</f>
        <v>96</v>
      </c>
      <c r="C756" s="36">
        <f>IFERROR(__xludf.DUMMYFUNCTION("""COMPUTED_VALUE"""),46184.0)</f>
        <v>46184</v>
      </c>
      <c r="D756" s="34" t="str">
        <f>IFERROR(__xludf.DUMMYFUNCTION("""COMPUTED_VALUE"""),"PANTRY")</f>
        <v>PANTRY</v>
      </c>
    </row>
    <row r="757">
      <c r="A757" s="34" t="str">
        <f>IFERROR(__xludf.DUMMYFUNCTION("""COMPUTED_VALUE"""),"LABEL TOM N JERRY NO.121")</f>
        <v>LABEL TOM N JERRY NO.121</v>
      </c>
      <c r="B757" s="34">
        <f>IFERROR(__xludf.DUMMYFUNCTION("""COMPUTED_VALUE"""),25.0)</f>
        <v>25</v>
      </c>
      <c r="C757" s="36">
        <f>IFERROR(__xludf.DUMMYFUNCTION("""COMPUTED_VALUE"""),46184.0)</f>
        <v>46184</v>
      </c>
      <c r="D757" s="34" t="str">
        <f>IFERROR(__xludf.DUMMYFUNCTION("""COMPUTED_VALUE"""),"AJAY")</f>
        <v>AJAY</v>
      </c>
    </row>
    <row r="758">
      <c r="A758" s="34" t="str">
        <f>IFERROR(__xludf.DUMMYFUNCTION("""COMPUTED_VALUE"""),"LATEX SARUNG TANGAN ")</f>
        <v>LATEX SARUNG TANGAN </v>
      </c>
      <c r="B758" s="34">
        <f>IFERROR(__xludf.DUMMYFUNCTION("""COMPUTED_VALUE"""),1.0)</f>
        <v>1</v>
      </c>
      <c r="C758" s="36">
        <f>IFERROR(__xludf.DUMMYFUNCTION("""COMPUTED_VALUE"""),46184.0)</f>
        <v>46184</v>
      </c>
      <c r="D758" s="34" t="str">
        <f>IFERROR(__xludf.DUMMYFUNCTION("""COMPUTED_VALUE"""),"DANI")</f>
        <v>DANI</v>
      </c>
    </row>
    <row r="759">
      <c r="A759" s="34" t="str">
        <f>IFERROR(__xludf.DUMMYFUNCTION("""COMPUTED_VALUE"""),"MASKER")</f>
        <v>MASKER</v>
      </c>
      <c r="B759" s="34">
        <f>IFERROR(__xludf.DUMMYFUNCTION("""COMPUTED_VALUE"""),1.0)</f>
        <v>1</v>
      </c>
      <c r="C759" s="36">
        <f>IFERROR(__xludf.DUMMYFUNCTION("""COMPUTED_VALUE"""),46184.0)</f>
        <v>46184</v>
      </c>
      <c r="D759" s="34" t="str">
        <f>IFERROR(__xludf.DUMMYFUNCTION("""COMPUTED_VALUE"""),"DANI")</f>
        <v>DANI</v>
      </c>
    </row>
    <row r="760">
      <c r="A760" s="34" t="str">
        <f>IFERROR(__xludf.DUMMYFUNCTION("""COMPUTED_VALUE"""),"LATEX SARUNG TANGAN ")</f>
        <v>LATEX SARUNG TANGAN </v>
      </c>
      <c r="B760" s="34">
        <f>IFERROR(__xludf.DUMMYFUNCTION("""COMPUTED_VALUE"""),1.0)</f>
        <v>1</v>
      </c>
      <c r="C760" s="36">
        <f>IFERROR(__xludf.DUMMYFUNCTION("""COMPUTED_VALUE"""),46184.0)</f>
        <v>46184</v>
      </c>
      <c r="D760" s="34" t="str">
        <f>IFERROR(__xludf.DUMMYFUNCTION("""COMPUTED_VALUE"""),"DANI")</f>
        <v>DANI</v>
      </c>
    </row>
    <row r="761">
      <c r="A761" s="34" t="str">
        <f>IFERROR(__xludf.DUMMYFUNCTION("""COMPUTED_VALUE"""),"MASKER")</f>
        <v>MASKER</v>
      </c>
      <c r="B761" s="34">
        <f>IFERROR(__xludf.DUMMYFUNCTION("""COMPUTED_VALUE"""),1.0)</f>
        <v>1</v>
      </c>
      <c r="C761" s="36">
        <f>IFERROR(__xludf.DUMMYFUNCTION("""COMPUTED_VALUE"""),46184.0)</f>
        <v>46184</v>
      </c>
      <c r="D761" s="34" t="str">
        <f>IFERROR(__xludf.DUMMYFUNCTION("""COMPUTED_VALUE"""),"DANI")</f>
        <v>DANI</v>
      </c>
    </row>
    <row r="762">
      <c r="A762" s="34" t="str">
        <f>IFERROR(__xludf.DUMMYFUNCTION("""COMPUTED_VALUE"""),"TISSUE")</f>
        <v>TISSUE</v>
      </c>
      <c r="B762" s="34">
        <f>IFERROR(__xludf.DUMMYFUNCTION("""COMPUTED_VALUE"""),1.0)</f>
        <v>1</v>
      </c>
      <c r="C762" s="36">
        <f>IFERROR(__xludf.DUMMYFUNCTION("""COMPUTED_VALUE"""),46184.0)</f>
        <v>46184</v>
      </c>
      <c r="D762" s="34" t="str">
        <f>IFERROR(__xludf.DUMMYFUNCTION("""COMPUTED_VALUE"""),"DANI")</f>
        <v>DANI</v>
      </c>
    </row>
    <row r="763">
      <c r="A763" s="34" t="str">
        <f>IFERROR(__xludf.DUMMYFUNCTION("""COMPUTED_VALUE"""),"TISSUE")</f>
        <v>TISSUE</v>
      </c>
      <c r="B763" s="34">
        <f>IFERROR(__xludf.DUMMYFUNCTION("""COMPUTED_VALUE"""),3.0)</f>
        <v>3</v>
      </c>
      <c r="C763" s="36">
        <f>IFERROR(__xludf.DUMMYFUNCTION("""COMPUTED_VALUE"""),46184.0)</f>
        <v>46184</v>
      </c>
      <c r="D763" s="34" t="str">
        <f>IFERROR(__xludf.DUMMYFUNCTION("""COMPUTED_VALUE"""),"LOGISTIK")</f>
        <v>LOGISTIK</v>
      </c>
    </row>
    <row r="764">
      <c r="A764" s="34" t="str">
        <f>IFERROR(__xludf.DUMMYFUNCTION("""COMPUTED_VALUE"""),"PULPEN HITAM")</f>
        <v>PULPEN HITAM</v>
      </c>
      <c r="B764" s="34">
        <f>IFERROR(__xludf.DUMMYFUNCTION("""COMPUTED_VALUE"""),3.0)</f>
        <v>3</v>
      </c>
      <c r="C764" s="36">
        <f>IFERROR(__xludf.DUMMYFUNCTION("""COMPUTED_VALUE"""),46184.0)</f>
        <v>46184</v>
      </c>
      <c r="D764" s="34" t="str">
        <f>IFERROR(__xludf.DUMMYFUNCTION("""COMPUTED_VALUE"""),"LOGISTIK")</f>
        <v>LOGISTIK</v>
      </c>
    </row>
    <row r="765">
      <c r="A765" s="34" t="str">
        <f>IFERROR(__xludf.DUMMYFUNCTION("""COMPUTED_VALUE"""),"SALONPAS")</f>
        <v>SALONPAS</v>
      </c>
      <c r="B765" s="34">
        <f>IFERROR(__xludf.DUMMYFUNCTION("""COMPUTED_VALUE"""),2.0)</f>
        <v>2</v>
      </c>
      <c r="C765" s="36">
        <f>IFERROR(__xludf.DUMMYFUNCTION("""COMPUTED_VALUE"""),46184.0)</f>
        <v>46184</v>
      </c>
      <c r="D765" s="34" t="str">
        <f>IFERROR(__xludf.DUMMYFUNCTION("""COMPUTED_VALUE"""),"LOGISTIK")</f>
        <v>LOGISTIK</v>
      </c>
    </row>
    <row r="766">
      <c r="A766" s="34" t="str">
        <f>IFERROR(__xludf.DUMMYFUNCTION("""COMPUTED_VALUE"""),"SPIDOL HITAM")</f>
        <v>SPIDOL HITAM</v>
      </c>
      <c r="B766" s="34">
        <f>IFERROR(__xludf.DUMMYFUNCTION("""COMPUTED_VALUE"""),1.0)</f>
        <v>1</v>
      </c>
      <c r="C766" s="36">
        <f>IFERROR(__xludf.DUMMYFUNCTION("""COMPUTED_VALUE"""),46184.0)</f>
        <v>46184</v>
      </c>
      <c r="D766" s="34" t="str">
        <f>IFERROR(__xludf.DUMMYFUNCTION("""COMPUTED_VALUE"""),"LOGISTIK")</f>
        <v>LOGISTIK</v>
      </c>
    </row>
    <row r="767">
      <c r="A767" s="34" t="str">
        <f>IFERROR(__xludf.DUMMYFUNCTION("""COMPUTED_VALUE"""),"SPIDOL MERAH")</f>
        <v>SPIDOL MERAH</v>
      </c>
      <c r="B767" s="34">
        <f>IFERROR(__xludf.DUMMYFUNCTION("""COMPUTED_VALUE"""),1.0)</f>
        <v>1</v>
      </c>
      <c r="C767" s="36">
        <f>IFERROR(__xludf.DUMMYFUNCTION("""COMPUTED_VALUE"""),46184.0)</f>
        <v>46184</v>
      </c>
      <c r="D767" s="34" t="str">
        <f>IFERROR(__xludf.DUMMYFUNCTION("""COMPUTED_VALUE"""),"LOGISTIK")</f>
        <v>LOGISTIK</v>
      </c>
    </row>
    <row r="768">
      <c r="A768" s="34" t="str">
        <f>IFERROR(__xludf.DUMMYFUNCTION("""COMPUTED_VALUE"""),"KERTAS HVS A4")</f>
        <v>KERTAS HVS A4</v>
      </c>
      <c r="B768" s="34">
        <f>IFERROR(__xludf.DUMMYFUNCTION("""COMPUTED_VALUE"""),15.0)</f>
        <v>15</v>
      </c>
      <c r="C768" s="36">
        <f>IFERROR(__xludf.DUMMYFUNCTION("""COMPUTED_VALUE"""),46184.0)</f>
        <v>46184</v>
      </c>
      <c r="D768" s="34" t="str">
        <f>IFERROR(__xludf.DUMMYFUNCTION("""COMPUTED_VALUE"""),"LOGISTIK")</f>
        <v>LOGISTIK</v>
      </c>
    </row>
    <row r="769">
      <c r="A769" s="34" t="str">
        <f>IFERROR(__xludf.DUMMYFUNCTION("""COMPUTED_VALUE"""),"GLADE ")</f>
        <v>GLADE </v>
      </c>
      <c r="B769" s="34">
        <f>IFERROR(__xludf.DUMMYFUNCTION("""COMPUTED_VALUE"""),2.0)</f>
        <v>2</v>
      </c>
      <c r="C769" s="36">
        <f>IFERROR(__xludf.DUMMYFUNCTION("""COMPUTED_VALUE"""),46184.0)</f>
        <v>46184</v>
      </c>
      <c r="D769" s="34" t="str">
        <f>IFERROR(__xludf.DUMMYFUNCTION("""COMPUTED_VALUE"""),"LOGISTIK")</f>
        <v>LOGISTIK</v>
      </c>
    </row>
    <row r="770">
      <c r="A770" s="34" t="str">
        <f>IFERROR(__xludf.DUMMYFUNCTION("""COMPUTED_VALUE"""),"ISI CUTTER")</f>
        <v>ISI CUTTER</v>
      </c>
      <c r="B770" s="34">
        <f>IFERROR(__xludf.DUMMYFUNCTION("""COMPUTED_VALUE"""),1.0)</f>
        <v>1</v>
      </c>
      <c r="C770" s="36">
        <f>IFERROR(__xludf.DUMMYFUNCTION("""COMPUTED_VALUE"""),46184.0)</f>
        <v>46184</v>
      </c>
      <c r="D770" s="34" t="str">
        <f>IFERROR(__xludf.DUMMYFUNCTION("""COMPUTED_VALUE"""),"LOGISTIK")</f>
        <v>LOGISTIK</v>
      </c>
    </row>
    <row r="771">
      <c r="A771" s="34" t="str">
        <f>IFERROR(__xludf.DUMMYFUNCTION("""COMPUTED_VALUE"""),"MINYAK KAYU PUTIH")</f>
        <v>MINYAK KAYU PUTIH</v>
      </c>
      <c r="B771" s="34">
        <f>IFERROR(__xludf.DUMMYFUNCTION("""COMPUTED_VALUE"""),1.0)</f>
        <v>1</v>
      </c>
      <c r="C771" s="36">
        <f>IFERROR(__xludf.DUMMYFUNCTION("""COMPUTED_VALUE"""),46184.0)</f>
        <v>46184</v>
      </c>
      <c r="D771" s="34" t="str">
        <f>IFERROR(__xludf.DUMMYFUNCTION("""COMPUTED_VALUE"""),"LOGISTIK")</f>
        <v>LOGISTIK</v>
      </c>
    </row>
    <row r="772">
      <c r="A772" s="34" t="str">
        <f>IFERROR(__xludf.DUMMYFUNCTION("""COMPUTED_VALUE"""),"STICKY NOTE")</f>
        <v>STICKY NOTE</v>
      </c>
      <c r="B772" s="34">
        <f>IFERROR(__xludf.DUMMYFUNCTION("""COMPUTED_VALUE"""),2.0)</f>
        <v>2</v>
      </c>
      <c r="C772" s="36">
        <f>IFERROR(__xludf.DUMMYFUNCTION("""COMPUTED_VALUE"""),46184.0)</f>
        <v>46184</v>
      </c>
      <c r="D772" s="34" t="str">
        <f>IFERROR(__xludf.DUMMYFUNCTION("""COMPUTED_VALUE"""),"LOGISTIK")</f>
        <v>LOGISTIK</v>
      </c>
    </row>
    <row r="773">
      <c r="A773" s="34" t="str">
        <f>IFERROR(__xludf.DUMMYFUNCTION("""COMPUTED_VALUE"""),"KERTAS HVS A4")</f>
        <v>KERTAS HVS A4</v>
      </c>
      <c r="B773" s="34">
        <f>IFERROR(__xludf.DUMMYFUNCTION("""COMPUTED_VALUE"""),1.0)</f>
        <v>1</v>
      </c>
      <c r="C773" s="36">
        <f>IFERROR(__xludf.DUMMYFUNCTION("""COMPUTED_VALUE"""),46184.0)</f>
        <v>46184</v>
      </c>
      <c r="D773" s="34" t="str">
        <f>IFERROR(__xludf.DUMMYFUNCTION("""COMPUTED_VALUE"""),"IENDAH")</f>
        <v>IENDAH</v>
      </c>
    </row>
    <row r="774">
      <c r="A774" s="34" t="str">
        <f>IFERROR(__xludf.DUMMYFUNCTION("""COMPUTED_VALUE"""),"MASKER")</f>
        <v>MASKER</v>
      </c>
      <c r="B774" s="34">
        <f>IFERROR(__xludf.DUMMYFUNCTION("""COMPUTED_VALUE"""),1.0)</f>
        <v>1</v>
      </c>
      <c r="C774" s="36">
        <f>IFERROR(__xludf.DUMMYFUNCTION("""COMPUTED_VALUE"""),46185.0)</f>
        <v>46185</v>
      </c>
      <c r="D774" s="34" t="str">
        <f>IFERROR(__xludf.DUMMYFUNCTION("""COMPUTED_VALUE"""),"BAGAS")</f>
        <v>BAGAS</v>
      </c>
    </row>
    <row r="775">
      <c r="A775" s="34" t="str">
        <f>IFERROR(__xludf.DUMMYFUNCTION("""COMPUTED_VALUE"""),"LATEX SARUNG TANGAN ")</f>
        <v>LATEX SARUNG TANGAN </v>
      </c>
      <c r="B775" s="34">
        <f>IFERROR(__xludf.DUMMYFUNCTION("""COMPUTED_VALUE"""),1.0)</f>
        <v>1</v>
      </c>
      <c r="C775" s="36">
        <f>IFERROR(__xludf.DUMMYFUNCTION("""COMPUTED_VALUE"""),46185.0)</f>
        <v>46185</v>
      </c>
      <c r="D775" s="34" t="str">
        <f>IFERROR(__xludf.DUMMYFUNCTION("""COMPUTED_VALUE"""),"BAGAS")</f>
        <v>BAGAS</v>
      </c>
    </row>
    <row r="776">
      <c r="A776" s="34" t="str">
        <f>IFERROR(__xludf.DUMMYFUNCTION("""COMPUTED_VALUE"""),"MASKER")</f>
        <v>MASKER</v>
      </c>
      <c r="B776" s="34">
        <f>IFERROR(__xludf.DUMMYFUNCTION("""COMPUTED_VALUE"""),1.0)</f>
        <v>1</v>
      </c>
      <c r="C776" s="36">
        <f>IFERROR(__xludf.DUMMYFUNCTION("""COMPUTED_VALUE"""),46185.0)</f>
        <v>46185</v>
      </c>
      <c r="D776" s="34" t="str">
        <f>IFERROR(__xludf.DUMMYFUNCTION("""COMPUTED_VALUE"""),"FARHAN")</f>
        <v>FARHAN</v>
      </c>
    </row>
    <row r="777">
      <c r="A777" s="34" t="str">
        <f>IFERROR(__xludf.DUMMYFUNCTION("""COMPUTED_VALUE"""),"LATEX SARUNG TANGAN ")</f>
        <v>LATEX SARUNG TANGAN </v>
      </c>
      <c r="B777" s="34">
        <f>IFERROR(__xludf.DUMMYFUNCTION("""COMPUTED_VALUE"""),1.0)</f>
        <v>1</v>
      </c>
      <c r="C777" s="36">
        <f>IFERROR(__xludf.DUMMYFUNCTION("""COMPUTED_VALUE"""),46185.0)</f>
        <v>46185</v>
      </c>
      <c r="D777" s="34" t="str">
        <f>IFERROR(__xludf.DUMMYFUNCTION("""COMPUTED_VALUE"""),"FARHAN")</f>
        <v>FARHAN</v>
      </c>
    </row>
    <row r="778">
      <c r="A778" s="34" t="str">
        <f>IFERROR(__xludf.DUMMYFUNCTION("""COMPUTED_VALUE"""),"AIR MINERAL")</f>
        <v>AIR MINERAL</v>
      </c>
      <c r="B778" s="34">
        <f>IFERROR(__xludf.DUMMYFUNCTION("""COMPUTED_VALUE"""),24.0)</f>
        <v>24</v>
      </c>
      <c r="C778" s="36">
        <f>IFERROR(__xludf.DUMMYFUNCTION("""COMPUTED_VALUE"""),46185.0)</f>
        <v>46185</v>
      </c>
      <c r="D778" s="34" t="str">
        <f>IFERROR(__xludf.DUMMYFUNCTION("""COMPUTED_VALUE"""),"PANTRY")</f>
        <v>PANTRY</v>
      </c>
    </row>
    <row r="779">
      <c r="A779" s="34" t="str">
        <f>IFERROR(__xludf.DUMMYFUNCTION("""COMPUTED_VALUE"""),"TISSUE")</f>
        <v>TISSUE</v>
      </c>
      <c r="B779" s="34">
        <f>IFERROR(__xludf.DUMMYFUNCTION("""COMPUTED_VALUE"""),1.0)</f>
        <v>1</v>
      </c>
      <c r="C779" s="36">
        <f>IFERROR(__xludf.DUMMYFUNCTION("""COMPUTED_VALUE"""),46185.0)</f>
        <v>46185</v>
      </c>
      <c r="D779" s="34" t="str">
        <f>IFERROR(__xludf.DUMMYFUNCTION("""COMPUTED_VALUE"""),"IENDAH")</f>
        <v>IENDAH</v>
      </c>
    </row>
    <row r="780">
      <c r="A780" s="34" t="str">
        <f>IFERROR(__xludf.DUMMYFUNCTION("""COMPUTED_VALUE"""),"BATU BATERAI A3")</f>
        <v>BATU BATERAI A3</v>
      </c>
      <c r="B780" s="34">
        <f>IFERROR(__xludf.DUMMYFUNCTION("""COMPUTED_VALUE"""),4.0)</f>
        <v>4</v>
      </c>
      <c r="C780" s="36">
        <f>IFERROR(__xludf.DUMMYFUNCTION("""COMPUTED_VALUE"""),46185.0)</f>
        <v>46185</v>
      </c>
      <c r="D780" s="34" t="str">
        <f>IFERROR(__xludf.DUMMYFUNCTION("""COMPUTED_VALUE"""),"PANTRY")</f>
        <v>PANTRY</v>
      </c>
    </row>
    <row r="781">
      <c r="A781" s="34" t="str">
        <f>IFERROR(__xludf.DUMMYFUNCTION("""COMPUTED_VALUE"""),"BATU BATERAI A2")</f>
        <v>BATU BATERAI A2</v>
      </c>
      <c r="B781" s="34">
        <f>IFERROR(__xludf.DUMMYFUNCTION("""COMPUTED_VALUE"""),6.0)</f>
        <v>6</v>
      </c>
      <c r="C781" s="36">
        <f>IFERROR(__xludf.DUMMYFUNCTION("""COMPUTED_VALUE"""),46185.0)</f>
        <v>46185</v>
      </c>
      <c r="D781" s="34" t="str">
        <f>IFERROR(__xludf.DUMMYFUNCTION("""COMPUTED_VALUE"""),"PANTRY")</f>
        <v>PANTRY</v>
      </c>
    </row>
    <row r="782">
      <c r="A782" s="34" t="str">
        <f>IFERROR(__xludf.DUMMYFUNCTION("""COMPUTED_VALUE"""),"KUAS ROLL BULU KECIL 4INC")</f>
        <v>KUAS ROLL BULU KECIL 4INC</v>
      </c>
      <c r="B782" s="34">
        <f>IFERROR(__xludf.DUMMYFUNCTION("""COMPUTED_VALUE"""),1.0)</f>
        <v>1</v>
      </c>
      <c r="C782" s="36">
        <f>IFERROR(__xludf.DUMMYFUNCTION("""COMPUTED_VALUE"""),46185.0)</f>
        <v>46185</v>
      </c>
      <c r="D782" s="34" t="str">
        <f>IFERROR(__xludf.DUMMYFUNCTION("""COMPUTED_VALUE"""),"GA MUH")</f>
        <v>GA MUH</v>
      </c>
    </row>
    <row r="783">
      <c r="A783" s="34" t="str">
        <f>IFERROR(__xludf.DUMMYFUNCTION("""COMPUTED_VALUE"""),"DOUBLE TAPE FOAM")</f>
        <v>DOUBLE TAPE FOAM</v>
      </c>
      <c r="B783" s="34">
        <f>IFERROR(__xludf.DUMMYFUNCTION("""COMPUTED_VALUE"""),2.0)</f>
        <v>2</v>
      </c>
      <c r="C783" s="36">
        <f>IFERROR(__xludf.DUMMYFUNCTION("""COMPUTED_VALUE"""),46185.0)</f>
        <v>46185</v>
      </c>
      <c r="D783" s="34" t="str">
        <f>IFERROR(__xludf.DUMMYFUNCTION("""COMPUTED_VALUE"""),"GA")</f>
        <v>GA</v>
      </c>
    </row>
    <row r="784">
      <c r="A784" s="34" t="str">
        <f>IFERROR(__xludf.DUMMYFUNCTION("""COMPUTED_VALUE"""),"DOUBLE TAPE FOAM")</f>
        <v>DOUBLE TAPE FOAM</v>
      </c>
      <c r="B784" s="34">
        <f>IFERROR(__xludf.DUMMYFUNCTION("""COMPUTED_VALUE"""),1.0)</f>
        <v>1</v>
      </c>
      <c r="C784" s="36">
        <f>IFERROR(__xludf.DUMMYFUNCTION("""COMPUTED_VALUE"""),46186.0)</f>
        <v>46186</v>
      </c>
      <c r="D784" s="34" t="str">
        <f>IFERROR(__xludf.DUMMYFUNCTION("""COMPUTED_VALUE"""),"PRODUKSI")</f>
        <v>PRODUKSI</v>
      </c>
    </row>
    <row r="785">
      <c r="A785" s="34" t="str">
        <f>IFERROR(__xludf.DUMMYFUNCTION("""COMPUTED_VALUE"""),"LAMPU PHILIPS LEDTUBE 18 W")</f>
        <v>LAMPU PHILIPS LEDTUBE 18 W</v>
      </c>
      <c r="B785" s="34">
        <f>IFERROR(__xludf.DUMMYFUNCTION("""COMPUTED_VALUE"""),5.0)</f>
        <v>5</v>
      </c>
      <c r="C785" s="36">
        <f>IFERROR(__xludf.DUMMYFUNCTION("""COMPUTED_VALUE"""),46186.0)</f>
        <v>46186</v>
      </c>
      <c r="D785" s="34" t="str">
        <f>IFERROR(__xludf.DUMMYFUNCTION("""COMPUTED_VALUE"""),"FAREL")</f>
        <v>FAREL</v>
      </c>
    </row>
    <row r="786">
      <c r="A786" s="34" t="str">
        <f>IFERROR(__xludf.DUMMYFUNCTION("""COMPUTED_VALUE"""),"PULPEN HITAM")</f>
        <v>PULPEN HITAM</v>
      </c>
      <c r="B786" s="34">
        <f>IFERROR(__xludf.DUMMYFUNCTION("""COMPUTED_VALUE"""),1.0)</f>
        <v>1</v>
      </c>
      <c r="C786" s="36">
        <f>IFERROR(__xludf.DUMMYFUNCTION("""COMPUTED_VALUE"""),46186.0)</f>
        <v>46186</v>
      </c>
      <c r="D786" s="34" t="str">
        <f>IFERROR(__xludf.DUMMYFUNCTION("""COMPUTED_VALUE"""),"SHERLY")</f>
        <v>SHERLY</v>
      </c>
    </row>
    <row r="787">
      <c r="A787" s="34" t="str">
        <f>IFERROR(__xludf.DUMMYFUNCTION("""COMPUTED_VALUE"""),"LATEX SARUNG TANGAN ")</f>
        <v>LATEX SARUNG TANGAN </v>
      </c>
      <c r="B787" s="34">
        <f>IFERROR(__xludf.DUMMYFUNCTION("""COMPUTED_VALUE"""),2.0)</f>
        <v>2</v>
      </c>
      <c r="C787" s="36">
        <f>IFERROR(__xludf.DUMMYFUNCTION("""COMPUTED_VALUE"""),46186.0)</f>
        <v>46186</v>
      </c>
      <c r="D787" s="34" t="str">
        <f>IFERROR(__xludf.DUMMYFUNCTION("""COMPUTED_VALUE"""),"BAGAS")</f>
        <v>BAGAS</v>
      </c>
    </row>
    <row r="788">
      <c r="A788" s="34" t="str">
        <f>IFERROR(__xludf.DUMMYFUNCTION("""COMPUTED_VALUE"""),"MASKER")</f>
        <v>MASKER</v>
      </c>
      <c r="B788" s="34">
        <f>IFERROR(__xludf.DUMMYFUNCTION("""COMPUTED_VALUE"""),2.0)</f>
        <v>2</v>
      </c>
      <c r="C788" s="36">
        <f>IFERROR(__xludf.DUMMYFUNCTION("""COMPUTED_VALUE"""),46186.0)</f>
        <v>46186</v>
      </c>
      <c r="D788" s="34" t="str">
        <f>IFERROR(__xludf.DUMMYFUNCTION("""COMPUTED_VALUE"""),"BAGAS")</f>
        <v>BAGAS</v>
      </c>
    </row>
    <row r="789">
      <c r="A789" s="34" t="str">
        <f>IFERROR(__xludf.DUMMYFUNCTION("""COMPUTED_VALUE"""),"MASKER")</f>
        <v>MASKER</v>
      </c>
      <c r="B789" s="34">
        <f>IFERROR(__xludf.DUMMYFUNCTION("""COMPUTED_VALUE"""),1.0)</f>
        <v>1</v>
      </c>
      <c r="C789" s="36">
        <f>IFERROR(__xludf.DUMMYFUNCTION("""COMPUTED_VALUE"""),46186.0)</f>
        <v>46186</v>
      </c>
      <c r="D789" s="34" t="str">
        <f>IFERROR(__xludf.DUMMYFUNCTION("""COMPUTED_VALUE"""),"BAGAS")</f>
        <v>BAGAS</v>
      </c>
    </row>
    <row r="790">
      <c r="A790" s="34" t="str">
        <f>IFERROR(__xludf.DUMMYFUNCTION("""COMPUTED_VALUE"""),"LATEX SARUNG TANGAN ")</f>
        <v>LATEX SARUNG TANGAN </v>
      </c>
      <c r="B790" s="34">
        <f>IFERROR(__xludf.DUMMYFUNCTION("""COMPUTED_VALUE"""),1.0)</f>
        <v>1</v>
      </c>
      <c r="C790" s="36">
        <f>IFERROR(__xludf.DUMMYFUNCTION("""COMPUTED_VALUE"""),46186.0)</f>
        <v>46186</v>
      </c>
      <c r="D790" s="34" t="str">
        <f>IFERROR(__xludf.DUMMYFUNCTION("""COMPUTED_VALUE"""),"BAGAS")</f>
        <v>BAGAS</v>
      </c>
    </row>
    <row r="791">
      <c r="A791" s="34" t="str">
        <f>IFERROR(__xludf.DUMMYFUNCTION("""COMPUTED_VALUE"""),"MASKER")</f>
        <v>MASKER</v>
      </c>
      <c r="B791" s="34">
        <f>IFERROR(__xludf.DUMMYFUNCTION("""COMPUTED_VALUE"""),3.0)</f>
        <v>3</v>
      </c>
      <c r="C791" s="36">
        <f>IFERROR(__xludf.DUMMYFUNCTION("""COMPUTED_VALUE"""),46186.0)</f>
        <v>46186</v>
      </c>
      <c r="D791" s="34" t="str">
        <f>IFERROR(__xludf.DUMMYFUNCTION("""COMPUTED_VALUE"""),"IMAN")</f>
        <v>IMAN</v>
      </c>
    </row>
    <row r="792">
      <c r="A792" s="34" t="str">
        <f>IFERROR(__xludf.DUMMYFUNCTION("""COMPUTED_VALUE"""),"LATEX SARUNG TANGAN ")</f>
        <v>LATEX SARUNG TANGAN </v>
      </c>
      <c r="B792" s="34">
        <f>IFERROR(__xludf.DUMMYFUNCTION("""COMPUTED_VALUE"""),2.0)</f>
        <v>2</v>
      </c>
      <c r="C792" s="36">
        <f>IFERROR(__xludf.DUMMYFUNCTION("""COMPUTED_VALUE"""),46186.0)</f>
        <v>46186</v>
      </c>
      <c r="D792" s="34" t="str">
        <f>IFERROR(__xludf.DUMMYFUNCTION("""COMPUTED_VALUE"""),"IMAN")</f>
        <v>IMAN</v>
      </c>
    </row>
    <row r="793">
      <c r="A793" s="34" t="str">
        <f>IFERROR(__xludf.DUMMYFUNCTION("""COMPUTED_VALUE"""),"MASKER")</f>
        <v>MASKER</v>
      </c>
      <c r="B793" s="34">
        <f>IFERROR(__xludf.DUMMYFUNCTION("""COMPUTED_VALUE"""),2.0)</f>
        <v>2</v>
      </c>
      <c r="C793" s="36">
        <f>IFERROR(__xludf.DUMMYFUNCTION("""COMPUTED_VALUE"""),46186.0)</f>
        <v>46186</v>
      </c>
      <c r="D793" s="34" t="str">
        <f>IFERROR(__xludf.DUMMYFUNCTION("""COMPUTED_VALUE"""),"DANI")</f>
        <v>DANI</v>
      </c>
    </row>
    <row r="794">
      <c r="A794" s="34" t="str">
        <f>IFERROR(__xludf.DUMMYFUNCTION("""COMPUTED_VALUE"""),"SANDAL")</f>
        <v>SANDAL</v>
      </c>
      <c r="B794" s="34">
        <f>IFERROR(__xludf.DUMMYFUNCTION("""COMPUTED_VALUE"""),2.0)</f>
        <v>2</v>
      </c>
      <c r="C794" s="36">
        <f>IFERROR(__xludf.DUMMYFUNCTION("""COMPUTED_VALUE"""),46186.0)</f>
        <v>46186</v>
      </c>
      <c r="D794" s="34" t="str">
        <f>IFERROR(__xludf.DUMMYFUNCTION("""COMPUTED_VALUE"""),"IENDAH")</f>
        <v>IENDAH</v>
      </c>
    </row>
    <row r="795">
      <c r="A795" s="34" t="str">
        <f>IFERROR(__xludf.DUMMYFUNCTION("""COMPUTED_VALUE"""),"MASKER")</f>
        <v>MASKER</v>
      </c>
      <c r="B795" s="34">
        <f>IFERROR(__xludf.DUMMYFUNCTION("""COMPUTED_VALUE"""),3.0)</f>
        <v>3</v>
      </c>
      <c r="C795" s="36">
        <f>IFERROR(__xludf.DUMMYFUNCTION("""COMPUTED_VALUE"""),46188.0)</f>
        <v>46188</v>
      </c>
      <c r="D795" s="34" t="str">
        <f>IFERROR(__xludf.DUMMYFUNCTION("""COMPUTED_VALUE"""),"ANISA")</f>
        <v>ANISA</v>
      </c>
    </row>
    <row r="796">
      <c r="A796" s="34" t="str">
        <f>IFERROR(__xludf.DUMMYFUNCTION("""COMPUTED_VALUE"""),"HANDSPLAST WARNA WARNI")</f>
        <v>HANDSPLAST WARNA WARNI</v>
      </c>
      <c r="B796" s="34">
        <f>IFERROR(__xludf.DUMMYFUNCTION("""COMPUTED_VALUE"""),1.0)</f>
        <v>1</v>
      </c>
      <c r="C796" s="36">
        <f>IFERROR(__xludf.DUMMYFUNCTION("""COMPUTED_VALUE"""),46188.0)</f>
        <v>46188</v>
      </c>
      <c r="D796" s="34" t="str">
        <f>IFERROR(__xludf.DUMMYFUNCTION("""COMPUTED_VALUE"""),"ANISA")</f>
        <v>ANISA</v>
      </c>
    </row>
    <row r="797">
      <c r="A797" s="34" t="str">
        <f>IFERROR(__xludf.DUMMYFUNCTION("""COMPUTED_VALUE"""),"TISSUE")</f>
        <v>TISSUE</v>
      </c>
      <c r="B797" s="34">
        <f>IFERROR(__xludf.DUMMYFUNCTION("""COMPUTED_VALUE"""),2.0)</f>
        <v>2</v>
      </c>
      <c r="C797" s="36">
        <f>IFERROR(__xludf.DUMMYFUNCTION("""COMPUTED_VALUE"""),46188.0)</f>
        <v>46188</v>
      </c>
      <c r="D797" s="34" t="str">
        <f>IFERROR(__xludf.DUMMYFUNCTION("""COMPUTED_VALUE"""),"ANISA")</f>
        <v>ANISA</v>
      </c>
    </row>
    <row r="798">
      <c r="A798" s="34" t="str">
        <f>IFERROR(__xludf.DUMMYFUNCTION("""COMPUTED_VALUE"""),"KESET")</f>
        <v>KESET</v>
      </c>
      <c r="B798" s="34">
        <f>IFERROR(__xludf.DUMMYFUNCTION("""COMPUTED_VALUE"""),2.0)</f>
        <v>2</v>
      </c>
      <c r="C798" s="36">
        <f>IFERROR(__xludf.DUMMYFUNCTION("""COMPUTED_VALUE"""),46188.0)</f>
        <v>46188</v>
      </c>
      <c r="D798" s="34" t="str">
        <f>IFERROR(__xludf.DUMMYFUNCTION("""COMPUTED_VALUE"""),"FAREL")</f>
        <v>FAREL</v>
      </c>
    </row>
    <row r="799">
      <c r="A799" s="34" t="str">
        <f>IFERROR(__xludf.DUMMYFUNCTION("""COMPUTED_VALUE"""),"TOPRON PEMBERSIH KERAMIK , PORCELAIN BOTOL 1 LITER ")</f>
        <v>TOPRON PEMBERSIH KERAMIK , PORCELAIN BOTOL 1 LITER </v>
      </c>
      <c r="B799" s="34">
        <f>IFERROR(__xludf.DUMMYFUNCTION("""COMPUTED_VALUE"""),1.0)</f>
        <v>1</v>
      </c>
      <c r="C799" s="36">
        <f>IFERROR(__xludf.DUMMYFUNCTION("""COMPUTED_VALUE"""),46188.0)</f>
        <v>46188</v>
      </c>
      <c r="D799" s="34" t="str">
        <f>IFERROR(__xludf.DUMMYFUNCTION("""COMPUTED_VALUE"""),"GA HARIYANTO")</f>
        <v>GA HARIYANTO</v>
      </c>
    </row>
    <row r="800">
      <c r="A800" s="34" t="str">
        <f>IFERROR(__xludf.DUMMYFUNCTION("""COMPUTED_VALUE"""),"PORSTEX")</f>
        <v>PORSTEX</v>
      </c>
      <c r="B800" s="34">
        <f>IFERROR(__xludf.DUMMYFUNCTION("""COMPUTED_VALUE"""),1.0)</f>
        <v>1</v>
      </c>
      <c r="C800" s="36">
        <f>IFERROR(__xludf.DUMMYFUNCTION("""COMPUTED_VALUE"""),46188.0)</f>
        <v>46188</v>
      </c>
      <c r="D800" s="34" t="str">
        <f>IFERROR(__xludf.DUMMYFUNCTION("""COMPUTED_VALUE"""),"GA HARIYANTO")</f>
        <v>GA HARIYANTO</v>
      </c>
    </row>
    <row r="801">
      <c r="A801" s="34" t="str">
        <f>IFERROR(__xludf.DUMMYFUNCTION("""COMPUTED_VALUE"""),"KUAS UKURAN 2 INC")</f>
        <v>KUAS UKURAN 2 INC</v>
      </c>
      <c r="B801" s="34">
        <f>IFERROR(__xludf.DUMMYFUNCTION("""COMPUTED_VALUE"""),1.0)</f>
        <v>1</v>
      </c>
      <c r="C801" s="36">
        <f>IFERROR(__xludf.DUMMYFUNCTION("""COMPUTED_VALUE"""),46188.0)</f>
        <v>46188</v>
      </c>
      <c r="D801" s="34" t="str">
        <f>IFERROR(__xludf.DUMMYFUNCTION("""COMPUTED_VALUE"""),"GA HARIYANTO")</f>
        <v>GA HARIYANTO</v>
      </c>
    </row>
    <row r="802">
      <c r="A802" s="34" t="str">
        <f>IFERROR(__xludf.DUMMYFUNCTION("""COMPUTED_VALUE"""),"TOPRON PEMBERSIH KERAMIK , PORCELAIN BOTOL 1 LITER ")</f>
        <v>TOPRON PEMBERSIH KERAMIK , PORCELAIN BOTOL 1 LITER </v>
      </c>
      <c r="B802" s="34">
        <f>IFERROR(__xludf.DUMMYFUNCTION("""COMPUTED_VALUE"""),1.0)</f>
        <v>1</v>
      </c>
      <c r="C802" s="36">
        <f>IFERROR(__xludf.DUMMYFUNCTION("""COMPUTED_VALUE"""),46188.0)</f>
        <v>46188</v>
      </c>
      <c r="D802" s="34" t="str">
        <f>IFERROR(__xludf.DUMMYFUNCTION("""COMPUTED_VALUE"""),"FAREL")</f>
        <v>FAREL</v>
      </c>
    </row>
    <row r="803">
      <c r="A803" s="34" t="str">
        <f>IFERROR(__xludf.DUMMYFUNCTION("""COMPUTED_VALUE"""),"PORSTEX")</f>
        <v>PORSTEX</v>
      </c>
      <c r="B803" s="34">
        <f>IFERROR(__xludf.DUMMYFUNCTION("""COMPUTED_VALUE"""),1.0)</f>
        <v>1</v>
      </c>
      <c r="C803" s="36">
        <f>IFERROR(__xludf.DUMMYFUNCTION("""COMPUTED_VALUE"""),46188.0)</f>
        <v>46188</v>
      </c>
      <c r="D803" s="34" t="str">
        <f>IFERROR(__xludf.DUMMYFUNCTION("""COMPUTED_VALUE"""),"FAREL")</f>
        <v>FAREL</v>
      </c>
    </row>
    <row r="804">
      <c r="A804" s="34" t="str">
        <f>IFERROR(__xludf.DUMMYFUNCTION("""COMPUTED_VALUE"""),"BOX FILE BINDEX")</f>
        <v>BOX FILE BINDEX</v>
      </c>
      <c r="B804" s="34">
        <f>IFERROR(__xludf.DUMMYFUNCTION("""COMPUTED_VALUE"""),4.0)</f>
        <v>4</v>
      </c>
      <c r="C804" s="36">
        <f>IFERROR(__xludf.DUMMYFUNCTION("""COMPUTED_VALUE"""),46188.0)</f>
        <v>46188</v>
      </c>
      <c r="D804" s="34" t="str">
        <f>IFERROR(__xludf.DUMMYFUNCTION("""COMPUTED_VALUE"""),"AMANIAH")</f>
        <v>AMANIAH</v>
      </c>
    </row>
    <row r="805">
      <c r="A805" s="34" t="str">
        <f>IFERROR(__xludf.DUMMYFUNCTION("""COMPUTED_VALUE"""),"TISSUE")</f>
        <v>TISSUE</v>
      </c>
      <c r="B805" s="34">
        <f>IFERROR(__xludf.DUMMYFUNCTION("""COMPUTED_VALUE"""),3.0)</f>
        <v>3</v>
      </c>
      <c r="C805" s="36">
        <f>IFERROR(__xludf.DUMMYFUNCTION("""COMPUTED_VALUE"""),46188.0)</f>
        <v>46188</v>
      </c>
      <c r="D805" s="34" t="str">
        <f>IFERROR(__xludf.DUMMYFUNCTION("""COMPUTED_VALUE"""),"AMANIAH")</f>
        <v>AMANIAH</v>
      </c>
    </row>
    <row r="806">
      <c r="A806" s="34" t="str">
        <f>IFERROR(__xludf.DUMMYFUNCTION("""COMPUTED_VALUE"""),"SANDAL LAB")</f>
        <v>SANDAL LAB</v>
      </c>
      <c r="B806" s="34">
        <f>IFERROR(__xludf.DUMMYFUNCTION("""COMPUTED_VALUE"""),5.0)</f>
        <v>5</v>
      </c>
      <c r="C806" s="36">
        <f>IFERROR(__xludf.DUMMYFUNCTION("""COMPUTED_VALUE"""),46188.0)</f>
        <v>46188</v>
      </c>
      <c r="D806" s="34" t="str">
        <f>IFERROR(__xludf.DUMMYFUNCTION("""COMPUTED_VALUE"""),"AMANIAH")</f>
        <v>AMANIAH</v>
      </c>
    </row>
    <row r="807">
      <c r="A807" s="34" t="str">
        <f>IFERROR(__xludf.DUMMYFUNCTION("""COMPUTED_VALUE"""),"KESET")</f>
        <v>KESET</v>
      </c>
      <c r="B807" s="34">
        <f>IFERROR(__xludf.DUMMYFUNCTION("""COMPUTED_VALUE"""),2.0)</f>
        <v>2</v>
      </c>
      <c r="C807" s="36">
        <f>IFERROR(__xludf.DUMMYFUNCTION("""COMPUTED_VALUE"""),46188.0)</f>
        <v>46188</v>
      </c>
      <c r="D807" s="34" t="str">
        <f>IFERROR(__xludf.DUMMYFUNCTION("""COMPUTED_VALUE"""),"AMANIAH")</f>
        <v>AMANIAH</v>
      </c>
    </row>
    <row r="808">
      <c r="A808" s="34" t="str">
        <f>IFERROR(__xludf.DUMMYFUNCTION("""COMPUTED_VALUE"""),"EMBER")</f>
        <v>EMBER</v>
      </c>
      <c r="B808" s="34">
        <f>IFERROR(__xludf.DUMMYFUNCTION("""COMPUTED_VALUE"""),2.0)</f>
        <v>2</v>
      </c>
      <c r="C808" s="36">
        <f>IFERROR(__xludf.DUMMYFUNCTION("""COMPUTED_VALUE"""),46188.0)</f>
        <v>46188</v>
      </c>
      <c r="D808" s="34" t="str">
        <f>IFERROR(__xludf.DUMMYFUNCTION("""COMPUTED_VALUE"""),"AMANIAH")</f>
        <v>AMANIAH</v>
      </c>
    </row>
    <row r="809">
      <c r="A809" s="34" t="str">
        <f>IFERROR(__xludf.DUMMYFUNCTION("""COMPUTED_VALUE"""),"PEL - PELAN")</f>
        <v>PEL - PELAN</v>
      </c>
      <c r="B809" s="34">
        <f>IFERROR(__xludf.DUMMYFUNCTION("""COMPUTED_VALUE"""),1.0)</f>
        <v>1</v>
      </c>
      <c r="C809" s="36">
        <f>IFERROR(__xludf.DUMMYFUNCTION("""COMPUTED_VALUE"""),46188.0)</f>
        <v>46188</v>
      </c>
      <c r="D809" s="34" t="str">
        <f>IFERROR(__xludf.DUMMYFUNCTION("""COMPUTED_VALUE"""),"AMANIAH")</f>
        <v>AMANIAH</v>
      </c>
    </row>
    <row r="810">
      <c r="A810" s="34" t="str">
        <f>IFERROR(__xludf.DUMMYFUNCTION("""COMPUTED_VALUE"""),"KOTAK SAMPAH KECIL")</f>
        <v>KOTAK SAMPAH KECIL</v>
      </c>
      <c r="B810" s="34">
        <f>IFERROR(__xludf.DUMMYFUNCTION("""COMPUTED_VALUE"""),4.0)</f>
        <v>4</v>
      </c>
      <c r="C810" s="36">
        <f>IFERROR(__xludf.DUMMYFUNCTION("""COMPUTED_VALUE"""),46188.0)</f>
        <v>46188</v>
      </c>
      <c r="D810" s="34" t="str">
        <f>IFERROR(__xludf.DUMMYFUNCTION("""COMPUTED_VALUE"""),"AMANIAH")</f>
        <v>AMANIAH</v>
      </c>
    </row>
    <row r="811">
      <c r="A811" s="34" t="str">
        <f>IFERROR(__xludf.DUMMYFUNCTION("""COMPUTED_VALUE"""),"KOTAK TISSUE")</f>
        <v>KOTAK TISSUE</v>
      </c>
      <c r="B811" s="34">
        <f>IFERROR(__xludf.DUMMYFUNCTION("""COMPUTED_VALUE"""),4.0)</f>
        <v>4</v>
      </c>
      <c r="C811" s="36">
        <f>IFERROR(__xludf.DUMMYFUNCTION("""COMPUTED_VALUE"""),46188.0)</f>
        <v>46188</v>
      </c>
      <c r="D811" s="34" t="str">
        <f>IFERROR(__xludf.DUMMYFUNCTION("""COMPUTED_VALUE"""),"AMANIAH")</f>
        <v>AMANIAH</v>
      </c>
    </row>
    <row r="812">
      <c r="A812" s="34" t="str">
        <f>IFERROR(__xludf.DUMMYFUNCTION("""COMPUTED_VALUE"""),"PLASTIK LAMINATIN ")</f>
        <v>PLASTIK LAMINATIN </v>
      </c>
      <c r="B812" s="34">
        <f>IFERROR(__xludf.DUMMYFUNCTION("""COMPUTED_VALUE"""),100.0)</f>
        <v>100</v>
      </c>
      <c r="C812" s="36">
        <f>IFERROR(__xludf.DUMMYFUNCTION("""COMPUTED_VALUE"""),46188.0)</f>
        <v>46188</v>
      </c>
      <c r="D812" s="34" t="str">
        <f>IFERROR(__xludf.DUMMYFUNCTION("""COMPUTED_VALUE"""),"AMANIAH")</f>
        <v>AMANIAH</v>
      </c>
    </row>
    <row r="813">
      <c r="A813" s="34" t="str">
        <f>IFERROR(__xludf.DUMMYFUNCTION("""COMPUTED_VALUE"""),"TISSUE")</f>
        <v>TISSUE</v>
      </c>
      <c r="B813" s="34">
        <f>IFERROR(__xludf.DUMMYFUNCTION("""COMPUTED_VALUE"""),1.0)</f>
        <v>1</v>
      </c>
      <c r="C813" s="36">
        <f>IFERROR(__xludf.DUMMYFUNCTION("""COMPUTED_VALUE"""),46188.0)</f>
        <v>46188</v>
      </c>
      <c r="D813" s="34" t="str">
        <f>IFERROR(__xludf.DUMMYFUNCTION("""COMPUTED_VALUE"""),"DANI")</f>
        <v>DANI</v>
      </c>
    </row>
    <row r="814">
      <c r="A814" s="34" t="str">
        <f>IFERROR(__xludf.DUMMYFUNCTION("""COMPUTED_VALUE"""),"LATEX SARUNG TANGAN ")</f>
        <v>LATEX SARUNG TANGAN </v>
      </c>
      <c r="B814" s="34">
        <f>IFERROR(__xludf.DUMMYFUNCTION("""COMPUTED_VALUE"""),1.0)</f>
        <v>1</v>
      </c>
      <c r="C814" s="36">
        <f>IFERROR(__xludf.DUMMYFUNCTION("""COMPUTED_VALUE"""),46188.0)</f>
        <v>46188</v>
      </c>
      <c r="D814" s="34" t="str">
        <f>IFERROR(__xludf.DUMMYFUNCTION("""COMPUTED_VALUE"""),"DANI")</f>
        <v>DANI</v>
      </c>
    </row>
    <row r="815">
      <c r="A815" s="34" t="str">
        <f>IFERROR(__xludf.DUMMYFUNCTION("""COMPUTED_VALUE"""),"MASKER")</f>
        <v>MASKER</v>
      </c>
      <c r="B815" s="34">
        <f>IFERROR(__xludf.DUMMYFUNCTION("""COMPUTED_VALUE"""),1.0)</f>
        <v>1</v>
      </c>
      <c r="C815" s="36">
        <f>IFERROR(__xludf.DUMMYFUNCTION("""COMPUTED_VALUE"""),46188.0)</f>
        <v>46188</v>
      </c>
      <c r="D815" s="34" t="str">
        <f>IFERROR(__xludf.DUMMYFUNCTION("""COMPUTED_VALUE"""),"DANI")</f>
        <v>DANI</v>
      </c>
    </row>
    <row r="816">
      <c r="A816" s="34" t="str">
        <f>IFERROR(__xludf.DUMMYFUNCTION("""COMPUTED_VALUE"""),"MASKER")</f>
        <v>MASKER</v>
      </c>
      <c r="B816" s="34">
        <f>IFERROR(__xludf.DUMMYFUNCTION("""COMPUTED_VALUE"""),2.0)</f>
        <v>2</v>
      </c>
      <c r="C816" s="36">
        <f>IFERROR(__xludf.DUMMYFUNCTION("""COMPUTED_VALUE"""),46188.0)</f>
        <v>46188</v>
      </c>
      <c r="D816" s="34" t="str">
        <f>IFERROR(__xludf.DUMMYFUNCTION("""COMPUTED_VALUE"""),"ILYAS")</f>
        <v>ILYAS</v>
      </c>
    </row>
    <row r="817">
      <c r="A817" s="34" t="str">
        <f>IFERROR(__xludf.DUMMYFUNCTION("""COMPUTED_VALUE"""),"LATEX SARUNG TANGAN ")</f>
        <v>LATEX SARUNG TANGAN </v>
      </c>
      <c r="B817" s="34">
        <f>IFERROR(__xludf.DUMMYFUNCTION("""COMPUTED_VALUE"""),2.0)</f>
        <v>2</v>
      </c>
      <c r="C817" s="36">
        <f>IFERROR(__xludf.DUMMYFUNCTION("""COMPUTED_VALUE"""),46188.0)</f>
        <v>46188</v>
      </c>
      <c r="D817" s="34" t="str">
        <f>IFERROR(__xludf.DUMMYFUNCTION("""COMPUTED_VALUE"""),"ILYAS")</f>
        <v>ILYAS</v>
      </c>
    </row>
    <row r="818">
      <c r="A818" s="34" t="str">
        <f>IFERROR(__xludf.DUMMYFUNCTION("""COMPUTED_VALUE"""),"SABUN CUCI PIRING ")</f>
        <v>SABUN CUCI PIRING </v>
      </c>
      <c r="B818" s="34">
        <f>IFERROR(__xludf.DUMMYFUNCTION("""COMPUTED_VALUE"""),1.0)</f>
        <v>1</v>
      </c>
      <c r="C818" s="36">
        <f>IFERROR(__xludf.DUMMYFUNCTION("""COMPUTED_VALUE"""),46188.0)</f>
        <v>46188</v>
      </c>
      <c r="D818" s="34" t="str">
        <f>IFERROR(__xludf.DUMMYFUNCTION("""COMPUTED_VALUE"""),"PANTRY")</f>
        <v>PANTRY</v>
      </c>
    </row>
    <row r="819">
      <c r="A819" s="34" t="str">
        <f>IFERROR(__xludf.DUMMYFUNCTION("""COMPUTED_VALUE"""),"SABUN CUCI TANGAN")</f>
        <v>SABUN CUCI TANGAN</v>
      </c>
      <c r="B819" s="34">
        <f>IFERROR(__xludf.DUMMYFUNCTION("""COMPUTED_VALUE"""),1.0)</f>
        <v>1</v>
      </c>
      <c r="C819" s="36">
        <f>IFERROR(__xludf.DUMMYFUNCTION("""COMPUTED_VALUE"""),46188.0)</f>
        <v>46188</v>
      </c>
      <c r="D819" s="34" t="str">
        <f>IFERROR(__xludf.DUMMYFUNCTION("""COMPUTED_VALUE"""),"PANTRY")</f>
        <v>PANTRY</v>
      </c>
    </row>
    <row r="820">
      <c r="A820" s="34" t="str">
        <f>IFERROR(__xludf.DUMMYFUNCTION("""COMPUTED_VALUE"""),"PORSTEX")</f>
        <v>PORSTEX</v>
      </c>
      <c r="B820" s="34">
        <f>IFERROR(__xludf.DUMMYFUNCTION("""COMPUTED_VALUE"""),1.0)</f>
        <v>1</v>
      </c>
      <c r="C820" s="36">
        <f>IFERROR(__xludf.DUMMYFUNCTION("""COMPUTED_VALUE"""),46188.0)</f>
        <v>46188</v>
      </c>
      <c r="D820" s="34" t="str">
        <f>IFERROR(__xludf.DUMMYFUNCTION("""COMPUTED_VALUE"""),"PANTRY")</f>
        <v>PANTRY</v>
      </c>
    </row>
    <row r="821">
      <c r="A821" s="34" t="str">
        <f>IFERROR(__xludf.DUMMYFUNCTION("""COMPUTED_VALUE"""),"KESET")</f>
        <v>KESET</v>
      </c>
      <c r="B821" s="34">
        <f>IFERROR(__xludf.DUMMYFUNCTION("""COMPUTED_VALUE"""),1.0)</f>
        <v>1</v>
      </c>
      <c r="C821" s="36">
        <f>IFERROR(__xludf.DUMMYFUNCTION("""COMPUTED_VALUE"""),46188.0)</f>
        <v>46188</v>
      </c>
      <c r="D821" s="34" t="str">
        <f>IFERROR(__xludf.DUMMYFUNCTION("""COMPUTED_VALUE"""),"PANTRY")</f>
        <v>PANTRY</v>
      </c>
    </row>
    <row r="822">
      <c r="A822" s="34"/>
      <c r="B822" s="34"/>
      <c r="C822" s="34"/>
      <c r="D822" s="34"/>
    </row>
    <row r="823">
      <c r="A823" s="34"/>
      <c r="B823" s="34"/>
      <c r="C823" s="34"/>
      <c r="D823" s="34"/>
    </row>
    <row r="824">
      <c r="A824" s="34"/>
      <c r="B824" s="34"/>
      <c r="C824" s="34"/>
      <c r="D824" s="34"/>
    </row>
    <row r="825">
      <c r="A825" s="34"/>
      <c r="B825" s="34"/>
      <c r="C825" s="34"/>
      <c r="D825" s="34"/>
    </row>
    <row r="826">
      <c r="A826" s="34"/>
      <c r="B826" s="34"/>
      <c r="C826" s="34"/>
      <c r="D826" s="34"/>
    </row>
    <row r="827">
      <c r="A827" s="34"/>
      <c r="B827" s="34"/>
      <c r="C827" s="34"/>
      <c r="D827" s="34"/>
    </row>
    <row r="828">
      <c r="A828" s="34"/>
      <c r="B828" s="34"/>
      <c r="C828" s="34"/>
      <c r="D828" s="34"/>
    </row>
    <row r="829">
      <c r="A829" s="34"/>
      <c r="B829" s="34"/>
      <c r="C829" s="34"/>
      <c r="D829" s="34"/>
    </row>
    <row r="830">
      <c r="A830" s="34"/>
      <c r="B830" s="34"/>
      <c r="C830" s="34"/>
      <c r="D830" s="34"/>
    </row>
    <row r="831">
      <c r="A831" s="34"/>
      <c r="B831" s="34"/>
      <c r="C831" s="34"/>
      <c r="D831" s="34"/>
    </row>
    <row r="832">
      <c r="A832" s="34"/>
      <c r="B832" s="34"/>
      <c r="C832" s="34"/>
      <c r="D832" s="34"/>
    </row>
    <row r="833">
      <c r="A833" s="34"/>
      <c r="B833" s="34"/>
      <c r="C833" s="34"/>
      <c r="D833" s="34"/>
    </row>
    <row r="834">
      <c r="A834" s="34"/>
      <c r="B834" s="34"/>
      <c r="C834" s="34"/>
      <c r="D834" s="34"/>
    </row>
    <row r="835">
      <c r="A835" s="34"/>
      <c r="B835" s="34"/>
      <c r="C835" s="34"/>
      <c r="D835" s="34"/>
    </row>
    <row r="836">
      <c r="A836" s="34"/>
      <c r="B836" s="34"/>
      <c r="C836" s="34"/>
      <c r="D836" s="34"/>
    </row>
    <row r="837">
      <c r="A837" s="34"/>
      <c r="B837" s="34"/>
      <c r="C837" s="34"/>
      <c r="D837" s="34"/>
    </row>
    <row r="838">
      <c r="A838" s="34"/>
      <c r="B838" s="34"/>
      <c r="C838" s="34"/>
      <c r="D838" s="34"/>
    </row>
    <row r="839">
      <c r="A839" s="34"/>
      <c r="B839" s="34"/>
      <c r="C839" s="34"/>
      <c r="D839" s="34"/>
    </row>
    <row r="840">
      <c r="A840" s="34"/>
      <c r="B840" s="34"/>
      <c r="C840" s="34"/>
      <c r="D840" s="34"/>
    </row>
    <row r="841">
      <c r="A841" s="34"/>
      <c r="B841" s="34"/>
      <c r="C841" s="34"/>
      <c r="D841" s="34"/>
    </row>
    <row r="842">
      <c r="A842" s="34"/>
      <c r="B842" s="34"/>
      <c r="C842" s="34"/>
      <c r="D842" s="34"/>
    </row>
    <row r="843">
      <c r="A843" s="34"/>
      <c r="B843" s="34"/>
      <c r="C843" s="34"/>
      <c r="D843" s="34"/>
    </row>
    <row r="844">
      <c r="A844" s="34"/>
      <c r="B844" s="34"/>
      <c r="C844" s="34"/>
      <c r="D844" s="34"/>
    </row>
    <row r="845">
      <c r="A845" s="34"/>
      <c r="B845" s="34"/>
      <c r="C845" s="34"/>
      <c r="D845" s="34"/>
    </row>
    <row r="846">
      <c r="A846" s="34"/>
      <c r="B846" s="34"/>
      <c r="C846" s="34"/>
      <c r="D846" s="34"/>
    </row>
    <row r="847">
      <c r="A847" s="34"/>
      <c r="B847" s="34"/>
      <c r="C847" s="34"/>
      <c r="D847" s="34"/>
    </row>
    <row r="848">
      <c r="A848" s="34"/>
      <c r="B848" s="34"/>
      <c r="C848" s="34"/>
      <c r="D848" s="34"/>
    </row>
    <row r="849">
      <c r="A849" s="34"/>
      <c r="B849" s="34"/>
      <c r="C849" s="34"/>
      <c r="D849" s="34"/>
    </row>
    <row r="850">
      <c r="A850" s="34"/>
      <c r="B850" s="34"/>
      <c r="C850" s="34"/>
      <c r="D850" s="34"/>
    </row>
    <row r="851">
      <c r="A851" s="34"/>
      <c r="B851" s="34"/>
      <c r="C851" s="34"/>
      <c r="D851" s="34"/>
    </row>
    <row r="852">
      <c r="A852" s="34"/>
      <c r="B852" s="34"/>
      <c r="C852" s="34"/>
      <c r="D852" s="34"/>
    </row>
    <row r="853">
      <c r="A853" s="34"/>
      <c r="B853" s="34"/>
      <c r="C853" s="34"/>
      <c r="D853" s="34"/>
    </row>
    <row r="854">
      <c r="A854" s="34"/>
      <c r="B854" s="34"/>
      <c r="C854" s="34"/>
      <c r="D854" s="34"/>
    </row>
    <row r="855">
      <c r="A855" s="34"/>
      <c r="B855" s="34"/>
      <c r="C855" s="34"/>
      <c r="D855" s="34"/>
    </row>
    <row r="856">
      <c r="A856" s="34"/>
      <c r="B856" s="34"/>
      <c r="C856" s="34"/>
      <c r="D856" s="34"/>
    </row>
    <row r="857">
      <c r="A857" s="34"/>
      <c r="B857" s="34"/>
      <c r="C857" s="34"/>
      <c r="D857" s="34"/>
    </row>
    <row r="858">
      <c r="A858" s="34"/>
      <c r="B858" s="34"/>
      <c r="C858" s="34"/>
      <c r="D858" s="34"/>
    </row>
    <row r="859">
      <c r="A859" s="34"/>
      <c r="B859" s="34"/>
      <c r="C859" s="34"/>
      <c r="D859" s="34"/>
    </row>
    <row r="860">
      <c r="A860" s="34"/>
      <c r="B860" s="34"/>
      <c r="C860" s="34"/>
      <c r="D860" s="34"/>
    </row>
    <row r="861">
      <c r="A861" s="34"/>
      <c r="B861" s="34"/>
      <c r="C861" s="34"/>
      <c r="D861" s="34"/>
    </row>
    <row r="862">
      <c r="A862" s="34"/>
      <c r="B862" s="34"/>
      <c r="C862" s="34"/>
      <c r="D862" s="34"/>
    </row>
    <row r="863">
      <c r="A863" s="34"/>
      <c r="B863" s="34"/>
      <c r="C863" s="34"/>
      <c r="D863" s="34"/>
    </row>
    <row r="864">
      <c r="A864" s="34"/>
      <c r="B864" s="34"/>
      <c r="C864" s="34"/>
      <c r="D864" s="34"/>
    </row>
    <row r="865">
      <c r="A865" s="34"/>
      <c r="B865" s="34"/>
      <c r="C865" s="34"/>
      <c r="D865" s="34"/>
    </row>
    <row r="866">
      <c r="A866" s="34"/>
      <c r="B866" s="34"/>
      <c r="C866" s="34"/>
      <c r="D866" s="34"/>
    </row>
    <row r="867">
      <c r="A867" s="34"/>
      <c r="B867" s="34"/>
      <c r="C867" s="34"/>
      <c r="D867" s="34"/>
    </row>
    <row r="868">
      <c r="A868" s="34"/>
      <c r="B868" s="34"/>
      <c r="C868" s="34"/>
      <c r="D868" s="34"/>
    </row>
    <row r="869">
      <c r="A869" s="34"/>
      <c r="B869" s="34"/>
      <c r="C869" s="34"/>
      <c r="D869" s="34"/>
    </row>
    <row r="870">
      <c r="A870" s="34"/>
      <c r="B870" s="34"/>
      <c r="C870" s="34"/>
      <c r="D870" s="34"/>
    </row>
    <row r="871">
      <c r="A871" s="34"/>
      <c r="B871" s="34"/>
      <c r="C871" s="34"/>
      <c r="D871" s="34"/>
    </row>
    <row r="872">
      <c r="A872" s="34"/>
      <c r="B872" s="34"/>
      <c r="C872" s="34"/>
      <c r="D872" s="34"/>
    </row>
    <row r="873">
      <c r="A873" s="34"/>
      <c r="B873" s="34"/>
      <c r="C873" s="34"/>
      <c r="D873" s="34"/>
    </row>
    <row r="874">
      <c r="A874" s="34"/>
      <c r="B874" s="34"/>
      <c r="C874" s="34"/>
      <c r="D874" s="34"/>
    </row>
    <row r="875">
      <c r="A875" s="34"/>
      <c r="B875" s="34"/>
      <c r="C875" s="34"/>
      <c r="D875" s="34"/>
    </row>
    <row r="876">
      <c r="A876" s="34"/>
      <c r="B876" s="34"/>
      <c r="C876" s="34"/>
      <c r="D876" s="34"/>
    </row>
    <row r="877">
      <c r="A877" s="34"/>
      <c r="B877" s="34"/>
      <c r="C877" s="34"/>
      <c r="D877" s="34"/>
    </row>
    <row r="878">
      <c r="A878" s="34"/>
      <c r="B878" s="34"/>
      <c r="C878" s="34"/>
      <c r="D878" s="34"/>
    </row>
    <row r="879">
      <c r="A879" s="34"/>
      <c r="B879" s="34"/>
      <c r="C879" s="34"/>
      <c r="D879" s="34"/>
    </row>
    <row r="880">
      <c r="A880" s="34"/>
      <c r="B880" s="34"/>
      <c r="C880" s="34"/>
      <c r="D880" s="34"/>
    </row>
    <row r="881">
      <c r="A881" s="34"/>
      <c r="B881" s="34"/>
      <c r="C881" s="34"/>
      <c r="D881" s="34"/>
    </row>
    <row r="882">
      <c r="A882" s="34"/>
      <c r="B882" s="34"/>
      <c r="C882" s="34"/>
      <c r="D882" s="34"/>
    </row>
    <row r="883">
      <c r="A883" s="34"/>
      <c r="B883" s="34"/>
      <c r="C883" s="34"/>
      <c r="D883" s="34"/>
    </row>
    <row r="884">
      <c r="A884" s="34"/>
      <c r="B884" s="34"/>
      <c r="C884" s="34"/>
      <c r="D884" s="34"/>
    </row>
    <row r="885">
      <c r="A885" s="34"/>
      <c r="B885" s="34"/>
      <c r="C885" s="34"/>
      <c r="D885" s="34"/>
    </row>
    <row r="886">
      <c r="A886" s="34"/>
      <c r="B886" s="34"/>
      <c r="C886" s="34"/>
      <c r="D886" s="34"/>
    </row>
    <row r="887">
      <c r="A887" s="34"/>
      <c r="B887" s="34"/>
      <c r="C887" s="34"/>
      <c r="D887" s="34"/>
    </row>
    <row r="888">
      <c r="A888" s="34"/>
      <c r="B888" s="34"/>
      <c r="C888" s="34"/>
      <c r="D888" s="34"/>
    </row>
    <row r="889">
      <c r="A889" s="34"/>
      <c r="B889" s="34"/>
      <c r="C889" s="34"/>
      <c r="D889" s="34"/>
    </row>
    <row r="890">
      <c r="A890" s="34"/>
      <c r="B890" s="34"/>
      <c r="C890" s="34"/>
      <c r="D890" s="34"/>
    </row>
    <row r="891">
      <c r="A891" s="34"/>
      <c r="B891" s="34"/>
      <c r="C891" s="34"/>
      <c r="D891" s="34"/>
    </row>
    <row r="892">
      <c r="A892" s="34"/>
      <c r="B892" s="34"/>
      <c r="C892" s="34"/>
      <c r="D892" s="34"/>
    </row>
    <row r="893">
      <c r="A893" s="34"/>
      <c r="B893" s="34"/>
      <c r="C893" s="34"/>
      <c r="D893" s="34"/>
    </row>
    <row r="894">
      <c r="A894" s="34"/>
      <c r="B894" s="34"/>
      <c r="C894" s="34"/>
      <c r="D894" s="34"/>
    </row>
    <row r="895">
      <c r="A895" s="34"/>
      <c r="B895" s="34"/>
      <c r="C895" s="34"/>
      <c r="D895" s="34"/>
    </row>
    <row r="896">
      <c r="A896" s="34"/>
      <c r="B896" s="34"/>
      <c r="C896" s="34"/>
      <c r="D896" s="34"/>
    </row>
    <row r="897">
      <c r="A897" s="34"/>
      <c r="B897" s="34"/>
      <c r="C897" s="34"/>
      <c r="D897" s="34"/>
    </row>
    <row r="898">
      <c r="A898" s="34"/>
      <c r="B898" s="34"/>
      <c r="C898" s="34"/>
      <c r="D898" s="34"/>
    </row>
    <row r="899">
      <c r="A899" s="34"/>
      <c r="B899" s="34"/>
      <c r="C899" s="34"/>
      <c r="D899" s="34"/>
    </row>
    <row r="900">
      <c r="A900" s="34"/>
      <c r="B900" s="34"/>
      <c r="C900" s="34"/>
      <c r="D900" s="34"/>
    </row>
    <row r="901">
      <c r="A901" s="34"/>
      <c r="B901" s="34"/>
      <c r="C901" s="34"/>
      <c r="D901" s="34"/>
    </row>
    <row r="902">
      <c r="A902" s="34"/>
      <c r="B902" s="34"/>
      <c r="C902" s="34"/>
      <c r="D902" s="34"/>
    </row>
    <row r="903">
      <c r="A903" s="34"/>
      <c r="B903" s="34"/>
      <c r="C903" s="34"/>
      <c r="D903" s="34"/>
    </row>
    <row r="904">
      <c r="A904" s="34"/>
      <c r="B904" s="34"/>
      <c r="C904" s="34"/>
      <c r="D904" s="34"/>
    </row>
    <row r="905">
      <c r="A905" s="34"/>
      <c r="B905" s="34"/>
      <c r="C905" s="34"/>
      <c r="D905" s="34"/>
    </row>
    <row r="906">
      <c r="A906" s="34"/>
      <c r="B906" s="34"/>
      <c r="C906" s="34"/>
      <c r="D906" s="34"/>
    </row>
    <row r="907">
      <c r="A907" s="34"/>
      <c r="B907" s="34"/>
      <c r="C907" s="34"/>
      <c r="D907" s="34"/>
    </row>
    <row r="908">
      <c r="A908" s="34"/>
      <c r="B908" s="34"/>
      <c r="C908" s="34"/>
      <c r="D908" s="34"/>
    </row>
    <row r="909">
      <c r="A909" s="34"/>
      <c r="B909" s="34"/>
      <c r="C909" s="34"/>
      <c r="D909" s="34"/>
    </row>
    <row r="910">
      <c r="A910" s="34"/>
      <c r="B910" s="34"/>
      <c r="C910" s="34"/>
      <c r="D910" s="34"/>
    </row>
    <row r="911">
      <c r="A911" s="34"/>
      <c r="B911" s="34"/>
      <c r="C911" s="34"/>
      <c r="D911" s="34"/>
    </row>
    <row r="912">
      <c r="A912" s="34"/>
      <c r="B912" s="34"/>
      <c r="C912" s="34"/>
      <c r="D912" s="34"/>
    </row>
    <row r="913">
      <c r="A913" s="34"/>
      <c r="B913" s="34"/>
      <c r="C913" s="34"/>
      <c r="D913" s="34"/>
    </row>
    <row r="914">
      <c r="A914" s="34"/>
      <c r="B914" s="34"/>
      <c r="C914" s="34"/>
      <c r="D914" s="34"/>
    </row>
    <row r="915">
      <c r="A915" s="34"/>
      <c r="B915" s="34"/>
      <c r="C915" s="34"/>
      <c r="D915" s="34"/>
    </row>
    <row r="916">
      <c r="A916" s="34"/>
      <c r="B916" s="34"/>
      <c r="C916" s="34"/>
      <c r="D916" s="34"/>
    </row>
    <row r="917">
      <c r="A917" s="34"/>
      <c r="B917" s="34"/>
      <c r="C917" s="34"/>
      <c r="D917" s="34"/>
    </row>
    <row r="918">
      <c r="A918" s="34"/>
      <c r="B918" s="34"/>
      <c r="C918" s="34"/>
      <c r="D918" s="34"/>
    </row>
    <row r="919">
      <c r="A919" s="34"/>
      <c r="B919" s="34"/>
      <c r="C919" s="34"/>
      <c r="D919" s="34"/>
    </row>
    <row r="920">
      <c r="A920" s="34"/>
      <c r="B920" s="34"/>
      <c r="C920" s="34"/>
      <c r="D920" s="34"/>
    </row>
    <row r="921">
      <c r="A921" s="34"/>
      <c r="B921" s="34"/>
      <c r="C921" s="34"/>
      <c r="D921" s="34"/>
    </row>
    <row r="922">
      <c r="A922" s="34"/>
      <c r="B922" s="34"/>
      <c r="C922" s="34"/>
      <c r="D922" s="34"/>
    </row>
    <row r="923">
      <c r="A923" s="34"/>
      <c r="B923" s="34"/>
      <c r="C923" s="34"/>
      <c r="D923" s="34"/>
    </row>
    <row r="924">
      <c r="A924" s="34"/>
      <c r="B924" s="34"/>
      <c r="C924" s="34"/>
      <c r="D924" s="34"/>
    </row>
    <row r="925">
      <c r="A925" s="34"/>
      <c r="B925" s="34"/>
      <c r="C925" s="34"/>
      <c r="D925" s="34"/>
    </row>
    <row r="926">
      <c r="A926" s="34"/>
      <c r="B926" s="34"/>
      <c r="C926" s="34"/>
      <c r="D926" s="34"/>
    </row>
    <row r="927">
      <c r="A927" s="34"/>
      <c r="B927" s="34"/>
      <c r="C927" s="34"/>
      <c r="D927" s="34"/>
    </row>
    <row r="928">
      <c r="A928" s="34"/>
      <c r="B928" s="34"/>
      <c r="C928" s="34"/>
      <c r="D928" s="34"/>
    </row>
    <row r="929">
      <c r="A929" s="34"/>
      <c r="B929" s="34"/>
      <c r="C929" s="34"/>
      <c r="D929" s="34"/>
    </row>
    <row r="930">
      <c r="A930" s="34"/>
      <c r="B930" s="34"/>
      <c r="C930" s="34"/>
      <c r="D930" s="34"/>
    </row>
    <row r="931">
      <c r="A931" s="34"/>
      <c r="B931" s="34"/>
      <c r="C931" s="34"/>
      <c r="D931" s="34"/>
    </row>
    <row r="932">
      <c r="A932" s="34"/>
      <c r="B932" s="34"/>
      <c r="C932" s="34"/>
      <c r="D932" s="34"/>
    </row>
    <row r="933">
      <c r="A933" s="34"/>
      <c r="B933" s="34"/>
      <c r="C933" s="34"/>
      <c r="D933" s="34"/>
    </row>
    <row r="934">
      <c r="A934" s="34"/>
      <c r="B934" s="34"/>
      <c r="C934" s="34"/>
      <c r="D934" s="34"/>
    </row>
    <row r="935">
      <c r="A935" s="34"/>
      <c r="B935" s="34"/>
      <c r="C935" s="34"/>
      <c r="D935" s="34"/>
    </row>
    <row r="936">
      <c r="A936" s="34"/>
      <c r="B936" s="34"/>
      <c r="C936" s="34"/>
      <c r="D936" s="34"/>
    </row>
    <row r="937">
      <c r="A937" s="34"/>
      <c r="B937" s="34"/>
      <c r="C937" s="34"/>
      <c r="D937" s="34"/>
    </row>
    <row r="938">
      <c r="A938" s="34"/>
      <c r="B938" s="34"/>
      <c r="C938" s="34"/>
      <c r="D938" s="34"/>
    </row>
    <row r="939">
      <c r="A939" s="34"/>
      <c r="B939" s="34"/>
      <c r="C939" s="34"/>
      <c r="D939" s="34"/>
    </row>
    <row r="940">
      <c r="A940" s="34"/>
      <c r="B940" s="34"/>
      <c r="C940" s="34"/>
      <c r="D940" s="34"/>
    </row>
    <row r="941">
      <c r="A941" s="34"/>
      <c r="B941" s="34"/>
      <c r="C941" s="34"/>
      <c r="D941" s="34"/>
    </row>
    <row r="942">
      <c r="A942" s="34"/>
      <c r="B942" s="34"/>
      <c r="C942" s="34"/>
      <c r="D942" s="34"/>
    </row>
    <row r="943">
      <c r="A943" s="34"/>
      <c r="B943" s="34"/>
      <c r="C943" s="34"/>
      <c r="D943" s="34"/>
    </row>
    <row r="944">
      <c r="A944" s="34"/>
      <c r="B944" s="34"/>
      <c r="C944" s="34"/>
      <c r="D944" s="34"/>
    </row>
    <row r="945">
      <c r="A945" s="34"/>
      <c r="B945" s="34"/>
      <c r="C945" s="34"/>
      <c r="D945" s="34"/>
    </row>
    <row r="946">
      <c r="A946" s="34"/>
      <c r="B946" s="34"/>
      <c r="C946" s="34"/>
      <c r="D946" s="34"/>
    </row>
    <row r="947">
      <c r="A947" s="34"/>
      <c r="B947" s="34"/>
      <c r="C947" s="34"/>
      <c r="D947" s="34"/>
    </row>
    <row r="948">
      <c r="A948" s="34"/>
      <c r="B948" s="34"/>
      <c r="C948" s="34"/>
      <c r="D948" s="34"/>
    </row>
    <row r="949">
      <c r="A949" s="34"/>
      <c r="B949" s="34"/>
      <c r="C949" s="34"/>
      <c r="D949" s="34"/>
    </row>
    <row r="950">
      <c r="A950" s="34"/>
      <c r="B950" s="34"/>
      <c r="C950" s="34"/>
      <c r="D950" s="34"/>
    </row>
    <row r="951">
      <c r="A951" s="34"/>
      <c r="B951" s="34"/>
      <c r="C951" s="34"/>
      <c r="D951" s="34"/>
    </row>
    <row r="952">
      <c r="A952" s="34"/>
      <c r="B952" s="34"/>
      <c r="C952" s="34"/>
      <c r="D952" s="34"/>
    </row>
    <row r="953">
      <c r="A953" s="34"/>
      <c r="B953" s="34"/>
      <c r="C953" s="34"/>
      <c r="D953" s="34"/>
    </row>
    <row r="954">
      <c r="A954" s="34"/>
      <c r="B954" s="34"/>
      <c r="C954" s="34"/>
      <c r="D954" s="34"/>
    </row>
    <row r="955">
      <c r="A955" s="34"/>
      <c r="B955" s="34"/>
      <c r="C955" s="34"/>
      <c r="D955" s="34"/>
    </row>
    <row r="956">
      <c r="A956" s="34"/>
      <c r="B956" s="34"/>
      <c r="C956" s="34"/>
      <c r="D956" s="34"/>
    </row>
    <row r="957">
      <c r="A957" s="34"/>
      <c r="B957" s="34"/>
      <c r="C957" s="34"/>
      <c r="D957" s="34"/>
    </row>
    <row r="958">
      <c r="A958" s="34"/>
      <c r="B958" s="34"/>
      <c r="C958" s="34"/>
      <c r="D958" s="34"/>
    </row>
    <row r="959">
      <c r="A959" s="34"/>
      <c r="B959" s="34"/>
      <c r="C959" s="34"/>
      <c r="D959" s="34"/>
    </row>
    <row r="960">
      <c r="A960" s="34"/>
      <c r="B960" s="34"/>
      <c r="C960" s="34"/>
      <c r="D960" s="34"/>
    </row>
    <row r="961">
      <c r="A961" s="34"/>
      <c r="B961" s="34"/>
      <c r="C961" s="34"/>
      <c r="D961" s="34"/>
    </row>
    <row r="962">
      <c r="A962" s="34"/>
      <c r="B962" s="34"/>
      <c r="C962" s="34"/>
      <c r="D962" s="34"/>
    </row>
    <row r="963">
      <c r="A963" s="34"/>
      <c r="B963" s="34"/>
      <c r="C963" s="34"/>
      <c r="D963" s="34"/>
    </row>
    <row r="964">
      <c r="A964" s="34"/>
      <c r="B964" s="34"/>
      <c r="C964" s="34"/>
      <c r="D964" s="34"/>
    </row>
    <row r="965">
      <c r="A965" s="34"/>
      <c r="B965" s="34"/>
      <c r="C965" s="34"/>
      <c r="D965" s="34"/>
    </row>
    <row r="966">
      <c r="A966" s="34"/>
      <c r="B966" s="34"/>
      <c r="C966" s="34"/>
      <c r="D966" s="34"/>
    </row>
    <row r="967">
      <c r="A967" s="34"/>
      <c r="B967" s="34"/>
      <c r="C967" s="34"/>
      <c r="D967" s="34"/>
    </row>
    <row r="968">
      <c r="A968" s="34"/>
      <c r="B968" s="34"/>
      <c r="C968" s="34"/>
      <c r="D968" s="34"/>
    </row>
    <row r="969">
      <c r="A969" s="34"/>
      <c r="B969" s="34"/>
      <c r="C969" s="34"/>
      <c r="D969" s="34"/>
    </row>
    <row r="970">
      <c r="A970" s="34"/>
      <c r="B970" s="34"/>
      <c r="C970" s="34"/>
      <c r="D970" s="34"/>
    </row>
    <row r="971">
      <c r="A971" s="34"/>
      <c r="B971" s="34"/>
      <c r="C971" s="34"/>
      <c r="D971" s="34"/>
    </row>
    <row r="972">
      <c r="A972" s="34"/>
      <c r="B972" s="34"/>
      <c r="C972" s="34"/>
      <c r="D972" s="34"/>
    </row>
    <row r="973">
      <c r="A973" s="34"/>
      <c r="B973" s="34"/>
      <c r="C973" s="34"/>
      <c r="D973" s="34"/>
    </row>
    <row r="974">
      <c r="A974" s="34"/>
      <c r="B974" s="34"/>
      <c r="C974" s="34"/>
      <c r="D974" s="34"/>
    </row>
    <row r="975">
      <c r="A975" s="34"/>
      <c r="B975" s="34"/>
      <c r="C975" s="34"/>
      <c r="D975" s="34"/>
    </row>
    <row r="976">
      <c r="A976" s="34"/>
      <c r="B976" s="34"/>
      <c r="C976" s="34"/>
      <c r="D976" s="34"/>
    </row>
    <row r="977">
      <c r="A977" s="34"/>
      <c r="B977" s="34"/>
      <c r="C977" s="34"/>
      <c r="D977" s="34"/>
    </row>
    <row r="978">
      <c r="A978" s="34"/>
      <c r="B978" s="34"/>
      <c r="C978" s="34"/>
      <c r="D978" s="34"/>
    </row>
    <row r="979">
      <c r="A979" s="34"/>
      <c r="B979" s="34"/>
      <c r="C979" s="34"/>
      <c r="D979" s="34"/>
    </row>
    <row r="980">
      <c r="A980" s="34"/>
      <c r="B980" s="34"/>
      <c r="C980" s="34"/>
      <c r="D980" s="34"/>
    </row>
    <row r="981">
      <c r="A981" s="34"/>
      <c r="B981" s="34"/>
      <c r="C981" s="34"/>
      <c r="D981" s="34"/>
    </row>
    <row r="982">
      <c r="A982" s="34"/>
      <c r="B982" s="34"/>
      <c r="C982" s="34"/>
      <c r="D982" s="34"/>
    </row>
    <row r="983">
      <c r="A983" s="34"/>
      <c r="B983" s="34"/>
      <c r="C983" s="34"/>
      <c r="D983" s="34"/>
    </row>
    <row r="984">
      <c r="A984" s="34"/>
      <c r="B984" s="34"/>
      <c r="C984" s="34"/>
      <c r="D984" s="34"/>
    </row>
    <row r="985">
      <c r="A985" s="34"/>
      <c r="B985" s="34"/>
      <c r="C985" s="34"/>
      <c r="D985" s="34"/>
    </row>
    <row r="986">
      <c r="A986" s="34"/>
      <c r="B986" s="34"/>
      <c r="C986" s="34"/>
      <c r="D986" s="34"/>
    </row>
    <row r="987">
      <c r="A987" s="34"/>
      <c r="B987" s="34"/>
      <c r="C987" s="34"/>
      <c r="D987" s="34"/>
    </row>
    <row r="988">
      <c r="A988" s="34"/>
      <c r="B988" s="34"/>
      <c r="C988" s="34"/>
      <c r="D988" s="34"/>
    </row>
    <row r="989">
      <c r="A989" s="34"/>
      <c r="B989" s="34"/>
      <c r="C989" s="34"/>
      <c r="D989" s="34"/>
    </row>
    <row r="990">
      <c r="A990" s="34"/>
      <c r="B990" s="34"/>
      <c r="C990" s="34"/>
      <c r="D990" s="34"/>
    </row>
    <row r="991">
      <c r="A991" s="34"/>
      <c r="B991" s="34"/>
      <c r="C991" s="34"/>
      <c r="D991" s="34"/>
    </row>
    <row r="992">
      <c r="A992" s="34"/>
      <c r="B992" s="34"/>
      <c r="C992" s="34"/>
      <c r="D992" s="34"/>
    </row>
    <row r="993">
      <c r="A993" s="34"/>
      <c r="B993" s="34"/>
      <c r="C993" s="34"/>
      <c r="D993" s="34" t="str">
        <f>IFERROR(__xludf.DUMMYFUNCTION("""COMPUTED_VALUE""")," ")</f>
        <v> </v>
      </c>
    </row>
    <row r="994">
      <c r="A994" s="34"/>
      <c r="B994" s="34"/>
      <c r="C994" s="34"/>
      <c r="D994" s="34"/>
    </row>
    <row r="995">
      <c r="A995" s="34"/>
      <c r="B995" s="34"/>
      <c r="C995" s="34"/>
      <c r="D995" s="34"/>
    </row>
    <row r="996">
      <c r="A996" s="34"/>
      <c r="B996" s="34"/>
      <c r="C996" s="34"/>
      <c r="D996" s="34"/>
    </row>
    <row r="997">
      <c r="A997" s="34"/>
      <c r="B997" s="34"/>
      <c r="C997" s="34"/>
      <c r="D997" s="34"/>
    </row>
    <row r="998">
      <c r="A998" s="34"/>
      <c r="B998" s="34"/>
      <c r="C998" s="34"/>
      <c r="D998" s="34"/>
    </row>
    <row r="999">
      <c r="A999" s="34"/>
      <c r="B999" s="34"/>
      <c r="C999" s="34"/>
      <c r="D999" s="34"/>
    </row>
    <row r="1000">
      <c r="A1000" s="34"/>
      <c r="B1000" s="34"/>
      <c r="C1000" s="34"/>
      <c r="D1000" s="34"/>
    </row>
  </sheetData>
  <drawing r:id="rId1"/>
</worksheet>
</file>